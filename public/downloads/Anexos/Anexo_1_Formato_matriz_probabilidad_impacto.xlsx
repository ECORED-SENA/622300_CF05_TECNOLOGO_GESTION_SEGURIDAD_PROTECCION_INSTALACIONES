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oal\AppData\Local\Temp\Rar$DIa7344.14522\"/>
    </mc:Choice>
  </mc:AlternateContent>
  <xr:revisionPtr revIDLastSave="0" documentId="13_ncr:1_{5AD935E3-66BE-4C95-A923-138E4E1218AB}" xr6:coauthVersionLast="47" xr6:coauthVersionMax="47" xr10:uidLastSave="{00000000-0000-0000-0000-000000000000}"/>
  <bookViews>
    <workbookView xWindow="-120" yWindow="-120" windowWidth="20640" windowHeight="11040" firstSheet="2" activeTab="4" xr2:uid="{00000000-000D-0000-FFFF-FFFF00000000}"/>
  </bookViews>
  <sheets>
    <sheet name="Listado" sheetId="1" r:id="rId1"/>
    <sheet name="F-1. IDENTIFIC, ANALISIS, RESP." sheetId="2" r:id="rId2"/>
    <sheet name="Instrucciones Formato No 1" sheetId="3" r:id="rId3"/>
    <sheet name="F-2. MATRIZ PROB E IMPACTO." sheetId="4" r:id="rId4"/>
    <sheet name="F-3. ASIGNACION RIESGOS " sheetId="5" r:id="rId5"/>
    <sheet name="Instrucciones Formato No 3" sheetId="6" r:id="rId6"/>
  </sheets>
  <externalReferences>
    <externalReference r:id="rId7"/>
  </externalReferences>
  <definedNames>
    <definedName name="CategoriasRiesgos">[1]Parametros!$D$37:$D$65</definedName>
    <definedName name="SOLICITUD_DE_CERTIFICACIÓN_DE_CRÉDITO_PRESUPUESTARIO">Listado!$B$4</definedName>
    <definedName name="SOLICITUD_DE_CERTIFICACIÓN_PRESUPUESTAL">Listado!$B$4</definedName>
    <definedName name="Z_10E4AEAE_5D84_4CFC_A3C3_6092AA5F11CA_.wvu.PrintArea" localSheetId="1">'F-1. IDENTIFIC, ANALISIS, RESP.'!$A$1:$I$28</definedName>
    <definedName name="Z_10E4AEAE_5D84_4CFC_A3C3_6092AA5F11CA_.wvu.PrintArea" localSheetId="3">'F-2. MATRIZ PROB E IMPACTO.'!#REF!</definedName>
    <definedName name="Z_10E4AEAE_5D84_4CFC_A3C3_6092AA5F11CA_.wvu.PrintArea" localSheetId="4">'F-3. ASIGNACION RIESGOS '!$A$1:$D$16</definedName>
    <definedName name="Z_10E4AEAE_5D84_4CFC_A3C3_6092AA5F11CA_.wvu.Rows" localSheetId="3">'F-2. MATRIZ PROB E IMPACTO.'!#REF!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mE0PTfk+S/+w54zNpcpEuitUyulA0Xqt4fgiEOfkNFQ="/>
    </ext>
  </extLst>
</workbook>
</file>

<file path=xl/calcChain.xml><?xml version="1.0" encoding="utf-8"?>
<calcChain xmlns="http://schemas.openxmlformats.org/spreadsheetml/2006/main">
  <c r="A4" i="6" l="1"/>
  <c r="H11" i="4"/>
  <c r="G11" i="4"/>
  <c r="F11" i="4"/>
  <c r="E11" i="4"/>
  <c r="D11" i="4"/>
  <c r="H10" i="4"/>
  <c r="G10" i="4"/>
  <c r="F10" i="4"/>
  <c r="E10" i="4"/>
  <c r="D10" i="4"/>
  <c r="H9" i="4"/>
  <c r="G9" i="4"/>
  <c r="F9" i="4"/>
  <c r="E9" i="4"/>
  <c r="D9" i="4"/>
  <c r="H8" i="4"/>
  <c r="G8" i="4"/>
  <c r="F8" i="4"/>
  <c r="E8" i="4"/>
  <c r="D8" i="4"/>
  <c r="H7" i="4"/>
  <c r="G7" i="4"/>
  <c r="F7" i="4"/>
  <c r="E7" i="4"/>
  <c r="D7" i="4"/>
  <c r="A4" i="3"/>
  <c r="I20" i="2" a="1"/>
  <c r="I20" i="2" s="1"/>
  <c r="G20" i="2" a="1"/>
  <c r="G20" i="2" s="1"/>
  <c r="E20" i="2" a="1"/>
  <c r="E20" i="2" s="1"/>
  <c r="E22" i="2" s="1"/>
  <c r="H22" i="2" s="1"/>
  <c r="C20" i="2" a="1"/>
  <c r="C20" i="2" s="1"/>
  <c r="H19" i="2"/>
  <c r="D19" i="2"/>
  <c r="H18" i="2"/>
  <c r="D18" i="2"/>
  <c r="H17" i="2"/>
  <c r="D17" i="2"/>
  <c r="H16" i="2"/>
  <c r="D16" i="2"/>
  <c r="H15" i="2"/>
  <c r="D15" i="2"/>
</calcChain>
</file>

<file path=xl/sharedStrings.xml><?xml version="1.0" encoding="utf-8"?>
<sst xmlns="http://schemas.openxmlformats.org/spreadsheetml/2006/main" count="126" uniqueCount="105">
  <si>
    <t>LISTADO DE FORMATOS</t>
  </si>
  <si>
    <t>Nº FORMATO</t>
  </si>
  <si>
    <t>NOMBRE DEL FORMATO</t>
  </si>
  <si>
    <t>01</t>
  </si>
  <si>
    <t>02</t>
  </si>
  <si>
    <t>MATRIZ DE PROBABILIDAD E IMPACTO</t>
  </si>
  <si>
    <t>03</t>
  </si>
  <si>
    <t>ASIGNACIÓN DE RIESGOS</t>
  </si>
  <si>
    <t>N° 01</t>
  </si>
  <si>
    <t>Formato para identificar, analizar y dar respuesta a riesgos</t>
  </si>
  <si>
    <t>NÚMERO Y FECHA DEL DOCUMENTO</t>
  </si>
  <si>
    <t>Número</t>
  </si>
  <si>
    <t>Fecha</t>
  </si>
  <si>
    <t>DATOS GENERALES DEL PROYECTO</t>
  </si>
  <si>
    <t>Nombre del Proyecto</t>
  </si>
  <si>
    <t>Ubicación Geográfica</t>
  </si>
  <si>
    <t>IDENTIFICACIÓN DE RIESGOS</t>
  </si>
  <si>
    <t>CÓDIGO DE RIESGO</t>
  </si>
  <si>
    <t>DESCRIPCIÓN DEL RIESGO</t>
  </si>
  <si>
    <t>CAUSA(S) GENERADORA(S)</t>
  </si>
  <si>
    <t>Causa N° 1</t>
  </si>
  <si>
    <t>Causa N° 2</t>
  </si>
  <si>
    <t>Causa N° 3</t>
  </si>
  <si>
    <t>ANÁLISIS CUALITATIVO DE RIESGOS</t>
  </si>
  <si>
    <t>PROBABILIDAD DE OCURRENCIA</t>
  </si>
  <si>
    <t>IMPACTO EN LA EJECUCIÓN DE LA OBRA</t>
  </si>
  <si>
    <t xml:space="preserve">Muy baja </t>
  </si>
  <si>
    <t>Muy bajo</t>
  </si>
  <si>
    <t xml:space="preserve">Baja </t>
  </si>
  <si>
    <t>Bajo</t>
  </si>
  <si>
    <t xml:space="preserve">Moderada </t>
  </si>
  <si>
    <t>Moderado</t>
  </si>
  <si>
    <t xml:space="preserve">Alta </t>
  </si>
  <si>
    <t>Alto</t>
  </si>
  <si>
    <t xml:space="preserve">Muy alta </t>
  </si>
  <si>
    <t xml:space="preserve">Muy alto </t>
  </si>
  <si>
    <t>PRIORIZACIÓN DEL RIESGO</t>
  </si>
  <si>
    <t>Puntuación del Riesgo =Probabilidad x 
Impacto</t>
  </si>
  <si>
    <t xml:space="preserve">Prioridad
del Riesgo </t>
  </si>
  <si>
    <t>RESPUESTA A LOS RIESGOS</t>
  </si>
  <si>
    <t>ESTRATEGIA</t>
  </si>
  <si>
    <t>Mitigar Riesgo</t>
  </si>
  <si>
    <t>Evitar Riesgo</t>
  </si>
  <si>
    <t>Aceptar Riesgo</t>
  </si>
  <si>
    <t>Transferir Riesgo</t>
  </si>
  <si>
    <t>DISPARADOR DE RIESGO</t>
  </si>
  <si>
    <t>ACCIONES PARA DAR RESPUESTA AL RIESGO</t>
  </si>
  <si>
    <t>Nombres y Apellidos del responsable de su elaboración</t>
  </si>
  <si>
    <t>Nombres y Apellidos del responsable de su aprobación</t>
  </si>
  <si>
    <t>C.C.</t>
  </si>
  <si>
    <t>Cargo:</t>
  </si>
  <si>
    <t>Dependencia:</t>
  </si>
  <si>
    <t>INSTRUCCIONES PARA EL LLENADO DEL FORMATO Nº 01</t>
  </si>
  <si>
    <t>Regresar</t>
  </si>
  <si>
    <t>Campo</t>
  </si>
  <si>
    <t>Información a consignar</t>
  </si>
  <si>
    <t xml:space="preserve">Registrar un número correlativo (puede asignar también una nomenclatura alfanumérica) y la fecha en que se emite dicho documento. </t>
  </si>
  <si>
    <t>Registrar el nombre y la ubicación geográfica del proyecto correspondiente.</t>
  </si>
  <si>
    <t>Asignar un número correlativo (puede asignar también una nomenclatura alfanumérica) para identificar cada riesgo.</t>
  </si>
  <si>
    <t>Describir el riesgo considerando un grado razonable de detalle. Para identificar el riesgo, pueden utilizarse una variedad de técnicas tales como: revisión de documentación del proyecto, técnicas de recolección de información (tormenta de ideas, entrevistas), análisis FODA, lista de chequeo, etc.</t>
  </si>
  <si>
    <t>Registrar las condiciones o eventos previos que dan lugar a los riesgos identificados. Es posible que una causa pueda generar más de un riesgo identificado.</t>
  </si>
  <si>
    <t>Indicar la probabilidad de ocurrencia asignada al riesgo, marcando con una X en la celda que se ubica a la derecha del valor numérico respectivo.</t>
  </si>
  <si>
    <t>Indicar el impacto del riesgo en la ejecución de la obra marcando con una X en la celda que se ubica a la derecha del valor numérico respectivo.</t>
  </si>
  <si>
    <t>La puntuación del riesgo se obtiene automáticamente multiplicando la probabilidad de ocurrencia y el impacto estimado. Asimismo, se determina de manera automática la prioridad del riesgo motivo de análisis (alta, moderada, baja), teniendo en cuenta los criterios definidos en la matriz de probabilidad e impacto (Formato N° 2).</t>
  </si>
  <si>
    <r>
      <rPr>
        <sz val="10"/>
        <color theme="1"/>
        <rFont val="Arial"/>
      </rPr>
      <t xml:space="preserve">Deberá seleccionar con una X la estrategia a desarrollar. Para ello, conforme a la metodología del PMBOK, se precisa lo siguiente:
</t>
    </r>
    <r>
      <rPr>
        <b/>
        <sz val="10"/>
        <color theme="1"/>
        <rFont val="Arial"/>
      </rPr>
      <t xml:space="preserve">Mitigar el riesgo </t>
    </r>
    <r>
      <rPr>
        <sz val="10"/>
        <color theme="1"/>
        <rFont val="Arial"/>
      </rPr>
      <t xml:space="preserve">implica reducir la probabilidad de ocurrencia o el impacto de un riesgo a través de acciones específicas. Las acciones tendientes a reducir la probabilidad no necesariamente son las mismas para disminuir el impacto del riesgo.
</t>
    </r>
    <r>
      <rPr>
        <b/>
        <sz val="10"/>
        <color theme="1"/>
        <rFont val="Arial"/>
      </rPr>
      <t>Evitar el riesgo</t>
    </r>
    <r>
      <rPr>
        <sz val="10"/>
        <color theme="1"/>
        <rFont val="Arial"/>
      </rPr>
      <t xml:space="preserve"> implica eliminar la(s) causa(s) generadora(s) del riesgo. Debe tenerse en cuenta que en determinados casos, evitar el riesgo puede generar la modificación de las condiciones iniciales del proyecto.
</t>
    </r>
    <r>
      <rPr>
        <b/>
        <sz val="10"/>
        <color theme="1"/>
        <rFont val="Arial"/>
      </rPr>
      <t xml:space="preserve">Aceptar el riesgo </t>
    </r>
    <r>
      <rPr>
        <sz val="10"/>
        <color theme="1"/>
        <rFont val="Arial"/>
      </rPr>
      <t xml:space="preserve">implica reconocer el riesgo y determinar, de ser el caso, las medidas a adoptar si el riesgo se materializa. 
</t>
    </r>
    <r>
      <rPr>
        <b/>
        <sz val="10"/>
        <color theme="1"/>
        <rFont val="Arial"/>
      </rPr>
      <t xml:space="preserve">Transferir el riesgo </t>
    </r>
    <r>
      <rPr>
        <sz val="10"/>
        <color theme="1"/>
        <rFont val="Arial"/>
      </rPr>
      <t>implica trasladar el impacto de un riesgo a un tercero, junto con la responsabilidad de la respuesta.</t>
    </r>
  </si>
  <si>
    <t>Detallar el indicador que alertará sobre la materialización del riesgo y que habilitará a poner en práctica la estrategia de respuesta al riesgo.</t>
  </si>
  <si>
    <t>Detallar las acciones que se realizarán para dar respuesta a los riesgos identificados, conforme a la estrategia seleccionada en el numeral 5.1</t>
  </si>
  <si>
    <t>N° 02</t>
  </si>
  <si>
    <t>Matriz de probabilidad e impacto según Guía PMBOK</t>
  </si>
  <si>
    <t xml:space="preserve"> 1. PROBABILIDAD DE OCURRENCIA </t>
  </si>
  <si>
    <t xml:space="preserve">Muy Alta </t>
  </si>
  <si>
    <t>Alta</t>
  </si>
  <si>
    <r>
      <rPr>
        <b/>
        <sz val="9"/>
        <color theme="1"/>
        <rFont val="Arial"/>
      </rPr>
      <t>Baja</t>
    </r>
    <r>
      <rPr>
        <b/>
        <sz val="9"/>
        <color rgb="FF000000"/>
        <rFont val="Arial"/>
      </rPr>
      <t xml:space="preserve"> </t>
    </r>
  </si>
  <si>
    <t xml:space="preserve">Muy Baja </t>
  </si>
  <si>
    <t>2. IMPACTO EN LA 
EJECUCIÓN DE LA OBRA</t>
  </si>
  <si>
    <t>Muy Bajo</t>
  </si>
  <si>
    <t>Muy Alto</t>
  </si>
  <si>
    <t>3. PRIORIDAD DEL RIESGO</t>
  </si>
  <si>
    <t>Baja</t>
  </si>
  <si>
    <t>Moderada</t>
  </si>
  <si>
    <t>N° 03</t>
  </si>
  <si>
    <t>Formato para asignar los riesgos</t>
  </si>
  <si>
    <t>1. NÚMERO Y FECHA DEL DOCUMENTO</t>
  </si>
  <si>
    <t>2. DATOS GENERALES DEL PROYECTO</t>
  </si>
  <si>
    <t>3.INFORMACIÓN DEL RIESGO</t>
  </si>
  <si>
    <t>4 PLAN DE RESPUESTA A LOS RIESGOS</t>
  </si>
  <si>
    <t>4.1 ESTRATEGIA SELECCIONADA</t>
  </si>
  <si>
    <t>4.2 ACCIONES A REALIZAR EN EL MARCO DEL PLAN</t>
  </si>
  <si>
    <t>4.3 RIESGO ASIGNADO A</t>
  </si>
  <si>
    <t>3.1 CÓDIGO 
DE RIESGO</t>
  </si>
  <si>
    <t>3.2 DESCRIPCIÓN DEL RIESGO</t>
  </si>
  <si>
    <t>3.3 PRIORIDAD 
DEL RIESGO</t>
  </si>
  <si>
    <t>Mitigar el riesgo</t>
  </si>
  <si>
    <t>Evitar el riesgo</t>
  </si>
  <si>
    <t>Aceptar el riesgo</t>
  </si>
  <si>
    <t>Transferir el riesgo</t>
  </si>
  <si>
    <t>Entidad</t>
  </si>
  <si>
    <t>Contratista</t>
  </si>
  <si>
    <t>C.C</t>
  </si>
  <si>
    <t>INSTRUCCIONES PARA EL LLENADO DEL FORMATO Nº 03</t>
  </si>
  <si>
    <t>Registrar la prioridad (alta, moderada o baja) con la que se ha calificado al riesgo, de acuerdo al análisis realizado.</t>
  </si>
  <si>
    <t>Indicar la estrategia adoptada para dar respuesta al riesgo, marcando con una X en la celda correspondiente.</t>
  </si>
  <si>
    <t>Detallar las acciones que se realizarán para dar respuesta a los riesgos identificados, conforme a la estrategia seleccionada en el numeral 4.1</t>
  </si>
  <si>
    <t>Seleccionar con una X al responsable de la gestión del riesgo analizado.</t>
  </si>
  <si>
    <t xml:space="preserve">IDENTIFICACIÓN ANÁLISIS Y RESPUESTA A LOS RIESGOS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</si>
</sst>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0"/>
      <color rgb="FF000000"/>
      <name val="Arial"/>
      <scheme val="minor"/>
    </font>
    <font>
      <b/>
      <sz val="11"/>
      <color theme="1"/>
      <name val="Arial Black"/>
    </font>
    <font>
      <sz val="10"/>
      <name val="Arial"/>
    </font>
    <font>
      <sz val="8"/>
      <color theme="1"/>
      <name val="Arial"/>
    </font>
    <font>
      <sz val="8"/>
      <color theme="1"/>
      <name val="Arial Black"/>
    </font>
    <font>
      <sz val="10"/>
      <color theme="1"/>
      <name val="Arial Black"/>
    </font>
    <font>
      <sz val="9"/>
      <color theme="0"/>
      <name val="Arial"/>
    </font>
    <font>
      <b/>
      <u/>
      <sz val="10"/>
      <color theme="0"/>
      <name val="Arial"/>
    </font>
    <font>
      <b/>
      <u/>
      <sz val="10"/>
      <color theme="0"/>
      <name val="Arial"/>
    </font>
    <font>
      <b/>
      <u/>
      <sz val="10"/>
      <color theme="0"/>
      <name val="Arial"/>
    </font>
    <font>
      <sz val="10"/>
      <color theme="1"/>
      <name val="Arial"/>
    </font>
    <font>
      <b/>
      <sz val="11"/>
      <color theme="1"/>
      <name val="Arial"/>
    </font>
    <font>
      <u/>
      <sz val="9"/>
      <color rgb="FF3366FF"/>
      <name val="Arial"/>
    </font>
    <font>
      <sz val="9"/>
      <color theme="1"/>
      <name val="Arial"/>
    </font>
    <font>
      <b/>
      <sz val="9"/>
      <color theme="1"/>
      <name val="Arial"/>
    </font>
    <font>
      <b/>
      <sz val="8"/>
      <color theme="1"/>
      <name val="Arial"/>
    </font>
    <font>
      <b/>
      <sz val="10"/>
      <color theme="1"/>
      <name val="Arial"/>
    </font>
    <font>
      <u/>
      <sz val="10"/>
      <color theme="1"/>
      <name val="Viga"/>
    </font>
    <font>
      <sz val="9"/>
      <color theme="1"/>
      <name val="Viga"/>
    </font>
    <font>
      <b/>
      <sz val="9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339966"/>
        <bgColor rgb="FF339966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000000"/>
      </bottom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vertical="center" wrapText="1"/>
    </xf>
    <xf numFmtId="49" fontId="6" fillId="4" borderId="4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 wrapText="1"/>
    </xf>
    <xf numFmtId="49" fontId="6" fillId="5" borderId="4" xfId="0" applyNumberFormat="1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top"/>
    </xf>
    <xf numFmtId="0" fontId="13" fillId="0" borderId="0" xfId="0" applyFont="1"/>
    <xf numFmtId="0" fontId="15" fillId="6" borderId="22" xfId="0" applyFont="1" applyFill="1" applyBorder="1" applyAlignment="1">
      <alignment horizontal="center" vertical="top"/>
    </xf>
    <xf numFmtId="0" fontId="15" fillId="6" borderId="22" xfId="0" applyFont="1" applyFill="1" applyBorder="1" applyAlignment="1">
      <alignment horizontal="center" vertical="top" wrapText="1"/>
    </xf>
    <xf numFmtId="0" fontId="3" fillId="6" borderId="22" xfId="0" applyFont="1" applyFill="1" applyBorder="1" applyAlignment="1">
      <alignment horizontal="right" vertical="center" wrapText="1"/>
    </xf>
    <xf numFmtId="2" fontId="3" fillId="6" borderId="22" xfId="0" applyNumberFormat="1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top" wrapText="1"/>
    </xf>
    <xf numFmtId="164" fontId="15" fillId="6" borderId="22" xfId="0" applyNumberFormat="1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top" wrapText="1"/>
    </xf>
    <xf numFmtId="164" fontId="13" fillId="0" borderId="0" xfId="0" applyNumberFormat="1" applyFont="1" applyAlignment="1">
      <alignment vertical="top"/>
    </xf>
    <xf numFmtId="0" fontId="14" fillId="6" borderId="22" xfId="0" applyFont="1" applyFill="1" applyBorder="1" applyAlignment="1">
      <alignment horizontal="center" vertical="center" wrapText="1"/>
    </xf>
    <xf numFmtId="0" fontId="15" fillId="6" borderId="31" xfId="0" applyFont="1" applyFill="1" applyBorder="1" applyAlignment="1">
      <alignment horizontal="center" vertical="top" wrapText="1"/>
    </xf>
    <xf numFmtId="0" fontId="13" fillId="6" borderId="28" xfId="0" applyFont="1" applyFill="1" applyBorder="1" applyAlignment="1">
      <alignment vertical="top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6" fillId="7" borderId="22" xfId="0" applyFont="1" applyFill="1" applyBorder="1" applyAlignment="1">
      <alignment horizontal="center" vertical="center" wrapText="1"/>
    </xf>
    <xf numFmtId="0" fontId="10" fillId="7" borderId="22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7" borderId="34" xfId="0" applyFont="1" applyFill="1" applyBorder="1" applyAlignment="1">
      <alignment horizontal="center" vertical="center" wrapText="1"/>
    </xf>
    <xf numFmtId="2" fontId="14" fillId="0" borderId="35" xfId="0" applyNumberFormat="1" applyFont="1" applyBorder="1" applyAlignment="1">
      <alignment horizontal="center" vertical="center" wrapText="1"/>
    </xf>
    <xf numFmtId="164" fontId="14" fillId="8" borderId="36" xfId="0" applyNumberFormat="1" applyFont="1" applyFill="1" applyBorder="1" applyAlignment="1">
      <alignment horizontal="center" vertical="center" wrapText="1"/>
    </xf>
    <xf numFmtId="164" fontId="14" fillId="9" borderId="34" xfId="0" applyNumberFormat="1" applyFont="1" applyFill="1" applyBorder="1" applyAlignment="1">
      <alignment horizontal="center" vertical="center" wrapText="1"/>
    </xf>
    <xf numFmtId="164" fontId="14" fillId="5" borderId="34" xfId="0" applyNumberFormat="1" applyFont="1" applyFill="1" applyBorder="1" applyAlignment="1">
      <alignment horizontal="center" vertical="center" wrapText="1"/>
    </xf>
    <xf numFmtId="164" fontId="14" fillId="5" borderId="37" xfId="0" applyNumberFormat="1" applyFont="1" applyFill="1" applyBorder="1" applyAlignment="1">
      <alignment horizontal="center" vertical="center" wrapText="1"/>
    </xf>
    <xf numFmtId="0" fontId="14" fillId="7" borderId="22" xfId="0" applyFont="1" applyFill="1" applyBorder="1" applyAlignment="1">
      <alignment horizontal="center" vertical="center" wrapText="1"/>
    </xf>
    <xf numFmtId="2" fontId="14" fillId="0" borderId="14" xfId="0" applyNumberFormat="1" applyFont="1" applyBorder="1" applyAlignment="1">
      <alignment horizontal="center" vertical="center" wrapText="1"/>
    </xf>
    <xf numFmtId="164" fontId="14" fillId="8" borderId="39" xfId="0" applyNumberFormat="1" applyFont="1" applyFill="1" applyBorder="1" applyAlignment="1">
      <alignment horizontal="center" vertical="center" wrapText="1"/>
    </xf>
    <xf numFmtId="164" fontId="14" fillId="9" borderId="22" xfId="0" applyNumberFormat="1" applyFont="1" applyFill="1" applyBorder="1" applyAlignment="1">
      <alignment horizontal="center" vertical="center" wrapText="1"/>
    </xf>
    <xf numFmtId="164" fontId="14" fillId="5" borderId="22" xfId="0" applyNumberFormat="1" applyFont="1" applyFill="1" applyBorder="1" applyAlignment="1">
      <alignment horizontal="center" vertical="center" wrapText="1"/>
    </xf>
    <xf numFmtId="164" fontId="14" fillId="5" borderId="40" xfId="0" applyNumberFormat="1" applyFont="1" applyFill="1" applyBorder="1" applyAlignment="1">
      <alignment horizontal="center" vertical="center" wrapText="1"/>
    </xf>
    <xf numFmtId="164" fontId="14" fillId="8" borderId="22" xfId="0" applyNumberFormat="1" applyFont="1" applyFill="1" applyBorder="1" applyAlignment="1">
      <alignment horizontal="center" vertical="center" wrapText="1"/>
    </xf>
    <xf numFmtId="164" fontId="14" fillId="8" borderId="42" xfId="0" applyNumberFormat="1" applyFont="1" applyFill="1" applyBorder="1" applyAlignment="1">
      <alignment horizontal="center" vertical="center" wrapText="1"/>
    </xf>
    <xf numFmtId="164" fontId="14" fillId="8" borderId="43" xfId="0" applyNumberFormat="1" applyFont="1" applyFill="1" applyBorder="1" applyAlignment="1">
      <alignment horizontal="center" vertical="center" wrapText="1"/>
    </xf>
    <xf numFmtId="164" fontId="14" fillId="9" borderId="44" xfId="0" applyNumberFormat="1" applyFont="1" applyFill="1" applyBorder="1" applyAlignment="1">
      <alignment horizontal="center" vertical="center" wrapText="1"/>
    </xf>
    <xf numFmtId="2" fontId="14" fillId="0" borderId="22" xfId="0" applyNumberFormat="1" applyFont="1" applyBorder="1" applyAlignment="1">
      <alignment horizontal="center" vertical="center" wrapText="1"/>
    </xf>
    <xf numFmtId="2" fontId="14" fillId="0" borderId="40" xfId="0" applyNumberFormat="1" applyFont="1" applyBorder="1" applyAlignment="1">
      <alignment horizontal="center" vertical="center" wrapText="1"/>
    </xf>
    <xf numFmtId="2" fontId="14" fillId="7" borderId="22" xfId="0" applyNumberFormat="1" applyFont="1" applyFill="1" applyBorder="1" applyAlignment="1">
      <alignment horizontal="center" vertical="center" wrapText="1"/>
    </xf>
    <xf numFmtId="2" fontId="14" fillId="7" borderId="40" xfId="0" applyNumberFormat="1" applyFont="1" applyFill="1" applyBorder="1" applyAlignment="1">
      <alignment horizontal="center" vertical="center" wrapText="1"/>
    </xf>
    <xf numFmtId="0" fontId="11" fillId="8" borderId="51" xfId="0" applyFont="1" applyFill="1" applyBorder="1" applyAlignment="1">
      <alignment horizontal="center" vertical="center" wrapText="1"/>
    </xf>
    <xf numFmtId="164" fontId="11" fillId="9" borderId="51" xfId="0" applyNumberFormat="1" applyFont="1" applyFill="1" applyBorder="1" applyAlignment="1">
      <alignment horizontal="center" vertical="center" wrapText="1"/>
    </xf>
    <xf numFmtId="164" fontId="11" fillId="5" borderId="52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5" fillId="6" borderId="2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22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6" fillId="6" borderId="22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6" borderId="14" xfId="0" applyFont="1" applyFill="1" applyBorder="1" applyAlignment="1">
      <alignment horizontal="right" vertical="center" wrapText="1"/>
    </xf>
    <xf numFmtId="0" fontId="2" fillId="0" borderId="15" xfId="0" applyFont="1" applyBorder="1"/>
    <xf numFmtId="0" fontId="13" fillId="6" borderId="14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14" fillId="6" borderId="14" xfId="0" applyFont="1" applyFill="1" applyBorder="1" applyAlignment="1">
      <alignment vertical="top"/>
    </xf>
    <xf numFmtId="0" fontId="15" fillId="6" borderId="14" xfId="0" applyFont="1" applyFill="1" applyBorder="1" applyAlignment="1">
      <alignment horizontal="left" vertical="top" wrapText="1"/>
    </xf>
    <xf numFmtId="0" fontId="2" fillId="0" borderId="25" xfId="0" applyFont="1" applyBorder="1"/>
    <xf numFmtId="0" fontId="14" fillId="6" borderId="11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17" xfId="0" applyFont="1" applyBorder="1"/>
    <xf numFmtId="0" fontId="15" fillId="6" borderId="11" xfId="0" applyFont="1" applyFill="1" applyBorder="1" applyAlignment="1">
      <alignment horizontal="center" vertical="top"/>
    </xf>
    <xf numFmtId="0" fontId="15" fillId="6" borderId="12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18" xfId="0" applyFont="1" applyBorder="1"/>
    <xf numFmtId="0" fontId="2" fillId="0" borderId="19" xfId="0" applyFont="1" applyBorder="1"/>
    <xf numFmtId="0" fontId="15" fillId="6" borderId="11" xfId="0" applyFont="1" applyFill="1" applyBorder="1" applyAlignment="1">
      <alignment horizontal="center" vertical="top" wrapText="1"/>
    </xf>
    <xf numFmtId="0" fontId="2" fillId="0" borderId="26" xfId="0" applyFont="1" applyBorder="1"/>
    <xf numFmtId="0" fontId="15" fillId="6" borderId="14" xfId="0" applyFont="1" applyFill="1" applyBorder="1" applyAlignment="1">
      <alignment horizontal="center" vertical="center" wrapText="1"/>
    </xf>
    <xf numFmtId="0" fontId="15" fillId="6" borderId="14" xfId="0" applyFont="1" applyFill="1" applyBorder="1" applyAlignment="1">
      <alignment vertical="top" wrapText="1"/>
    </xf>
    <xf numFmtId="0" fontId="11" fillId="6" borderId="5" xfId="0" applyFont="1" applyFill="1" applyBorder="1" applyAlignment="1">
      <alignment horizontal="center" vertical="top" wrapText="1"/>
    </xf>
    <xf numFmtId="0" fontId="2" fillId="0" borderId="6" xfId="0" applyFont="1" applyBorder="1"/>
    <xf numFmtId="0" fontId="2" fillId="0" borderId="7" xfId="0" applyFont="1" applyBorder="1"/>
    <xf numFmtId="0" fontId="11" fillId="6" borderId="8" xfId="0" applyFont="1" applyFill="1" applyBorder="1" applyAlignment="1">
      <alignment horizontal="center" vertical="top" wrapText="1"/>
    </xf>
    <xf numFmtId="0" fontId="2" fillId="0" borderId="9" xfId="0" applyFont="1" applyBorder="1"/>
    <xf numFmtId="0" fontId="2" fillId="0" borderId="10" xfId="0" applyFont="1" applyBorder="1"/>
    <xf numFmtId="0" fontId="15" fillId="6" borderId="12" xfId="0" applyFont="1" applyFill="1" applyBorder="1" applyAlignment="1">
      <alignment horizontal="left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vertical="top" wrapText="1"/>
    </xf>
    <xf numFmtId="0" fontId="14" fillId="6" borderId="20" xfId="0" applyFont="1" applyFill="1" applyBorder="1" applyAlignment="1">
      <alignment horizontal="center" vertical="top" wrapText="1"/>
    </xf>
    <xf numFmtId="0" fontId="3" fillId="6" borderId="12" xfId="0" applyFont="1" applyFill="1" applyBorder="1" applyAlignment="1">
      <alignment horizontal="center" vertical="center" wrapText="1"/>
    </xf>
    <xf numFmtId="0" fontId="2" fillId="0" borderId="29" xfId="0" applyFont="1" applyBorder="1"/>
    <xf numFmtId="0" fontId="2" fillId="0" borderId="30" xfId="0" applyFont="1" applyBorder="1"/>
    <xf numFmtId="0" fontId="13" fillId="0" borderId="32" xfId="0" applyFont="1" applyBorder="1" applyAlignment="1">
      <alignment horizontal="center" vertical="top" wrapText="1"/>
    </xf>
    <xf numFmtId="0" fontId="2" fillId="0" borderId="32" xfId="0" applyFont="1" applyBorder="1"/>
    <xf numFmtId="164" fontId="14" fillId="6" borderId="11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left" vertical="center" wrapText="1"/>
    </xf>
    <xf numFmtId="0" fontId="15" fillId="6" borderId="14" xfId="0" applyFont="1" applyFill="1" applyBorder="1" applyAlignment="1">
      <alignment horizontal="left" vertical="center" wrapText="1"/>
    </xf>
    <xf numFmtId="0" fontId="15" fillId="6" borderId="12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 textRotation="90" wrapText="1"/>
    </xf>
    <xf numFmtId="0" fontId="2" fillId="0" borderId="38" xfId="0" applyFont="1" applyBorder="1"/>
    <xf numFmtId="0" fontId="2" fillId="0" borderId="41" xfId="0" applyFont="1" applyBorder="1"/>
    <xf numFmtId="0" fontId="14" fillId="7" borderId="45" xfId="0" applyFont="1" applyFill="1" applyBorder="1" applyAlignment="1">
      <alignment horizontal="center" vertical="center" wrapText="1"/>
    </xf>
    <xf numFmtId="0" fontId="2" fillId="0" borderId="46" xfId="0" applyFont="1" applyBorder="1"/>
    <xf numFmtId="0" fontId="2" fillId="0" borderId="47" xfId="0" applyFont="1" applyBorder="1"/>
    <xf numFmtId="0" fontId="11" fillId="7" borderId="48" xfId="0" applyFont="1" applyFill="1" applyBorder="1" applyAlignment="1">
      <alignment horizontal="center" vertical="center" wrapText="1"/>
    </xf>
    <xf numFmtId="0" fontId="2" fillId="0" borderId="49" xfId="0" applyFont="1" applyBorder="1"/>
    <xf numFmtId="0" fontId="2" fillId="0" borderId="50" xfId="0" applyFont="1" applyBorder="1"/>
    <xf numFmtId="0" fontId="14" fillId="6" borderId="12" xfId="0" applyFont="1" applyFill="1" applyBorder="1" applyAlignment="1">
      <alignment horizontal="left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left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819150</xdr:colOff>
      <xdr:row>0</xdr:row>
      <xdr:rowOff>-19050</xdr:rowOff>
    </xdr:from>
    <xdr:ext cx="4857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112638" y="3608550"/>
          <a:ext cx="466725" cy="342900"/>
        </a:xfrm>
        <a:prstGeom prst="lef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rodriguezg/Downloads/09_xxx_procesogestionriesgos_vxx.xls" TargetMode="External"/><Relationship Id="rId1" Type="http://schemas.openxmlformats.org/officeDocument/2006/relationships/externalLinkPath" Target="/Users/arodriguezg/Downloads/09_xxx_procesogestionriesgos_vxx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 - Instructivo"/>
      <sheetName val="2 - Identificacion Preliminar"/>
      <sheetName val="3 - Identificacion de riesgos"/>
      <sheetName val="4 - Planificacion y gestión"/>
      <sheetName val="Historico"/>
      <sheetName val="Análisis"/>
      <sheetName val="Matriz de Riesgos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defaultColWidth="12.5703125" defaultRowHeight="15" customHeight="1"/>
  <cols>
    <col min="1" max="1" width="14.5703125" customWidth="1"/>
    <col min="2" max="2" width="79.28515625" customWidth="1"/>
    <col min="3" max="6" width="11.42578125" customWidth="1"/>
    <col min="7" max="26" width="10" customWidth="1"/>
  </cols>
  <sheetData>
    <row r="1" spans="1:26" ht="23.25" customHeight="1">
      <c r="A1" s="69" t="s">
        <v>0</v>
      </c>
      <c r="B1" s="7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>
      <c r="A2" s="2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3" t="s">
        <v>1</v>
      </c>
      <c r="B3" s="4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3.25" customHeight="1">
      <c r="A4" s="5" t="s">
        <v>3</v>
      </c>
      <c r="B4" s="6" t="s">
        <v>104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3.25" customHeight="1">
      <c r="A5" s="7" t="s">
        <v>4</v>
      </c>
      <c r="B5" s="8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3.25" customHeight="1">
      <c r="A6" s="9" t="s">
        <v>6</v>
      </c>
      <c r="B6" s="10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.25" customHeight="1"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3.2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3.2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3.2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3.2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3.2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3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3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3.2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3.2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3.2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3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3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3.2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3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3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3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3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3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3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3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23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3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23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23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23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23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23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23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23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23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23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23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23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23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23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23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23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23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23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23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23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23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3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23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23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23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3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23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23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23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23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23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23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3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23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23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23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23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23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3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23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23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23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23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23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23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23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23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23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23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23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23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23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23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23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23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23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23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23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23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23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23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23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3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23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23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23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23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23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23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23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23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23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23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23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23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23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23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23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23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23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23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23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23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23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23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23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23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23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23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23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23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23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23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23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23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23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23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23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23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23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23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23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23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23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23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23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23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23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23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23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23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23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23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23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23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23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23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23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23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23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23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23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23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23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23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23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23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23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23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23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23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23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23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23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23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23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23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23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23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23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23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23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23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23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23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23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23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23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23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23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23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23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23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23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23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23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23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23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23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23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23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23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23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23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23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23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23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23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23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23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23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23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23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23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23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23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23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23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23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23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23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23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23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23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23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23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23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23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23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23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23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23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23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23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23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23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23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23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23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23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23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23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23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23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23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23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23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23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23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23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23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23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23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23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23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23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23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23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23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23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23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23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23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23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23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23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23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23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23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23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23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23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23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23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23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23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23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23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23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23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23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23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23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23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23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23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23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23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23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23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23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23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23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23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23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23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23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23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23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23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23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23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23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23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23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23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23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23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23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23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23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23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23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23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23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23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23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23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23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23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23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23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23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23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23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23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23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23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23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23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23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23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23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23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23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23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23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23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23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23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23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23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23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23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23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23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23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23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23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23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23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23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23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23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23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23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23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23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23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23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23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23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23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23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23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23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23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23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23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23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23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23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23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23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23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23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23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23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23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23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23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23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23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23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23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23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23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23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23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23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23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23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23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23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23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23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23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23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23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23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23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23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23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23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23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23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23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23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23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23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23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23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23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23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23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23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23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23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23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23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23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23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23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23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23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23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23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23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23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23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23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23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23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23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23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23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23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23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23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23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23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23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23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23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23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23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23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23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23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23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23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23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23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23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23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23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23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23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23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23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23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23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23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23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23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23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23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23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23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23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23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23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23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23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23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23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23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23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23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23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23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23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23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23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23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23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23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23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23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23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23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23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23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23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23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23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23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23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23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23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23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23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23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23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23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23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23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23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23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23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23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23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23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23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23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23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23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23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23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23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23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23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23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23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23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23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23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23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23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23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23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23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23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23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23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23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23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23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23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23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23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23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23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23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23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23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23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23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23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23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23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23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23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23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23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23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23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23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23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23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23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23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23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23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23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23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23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23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23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23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23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23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23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23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23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23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23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23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23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23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23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23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23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23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23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23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23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23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23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23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23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23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23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23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23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23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23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23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23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23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23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23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23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23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23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23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23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23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23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23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23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23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23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23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23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23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23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23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23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23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23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23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23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23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23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23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23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23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23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23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23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23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23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23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23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23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23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23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23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23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23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23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23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23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23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23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23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23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23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23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23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23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23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23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23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23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23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23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23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23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23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23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23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23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23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23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23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23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23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23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23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23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23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23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23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23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23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23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23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23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23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23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23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23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23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23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23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23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23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23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23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23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23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23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23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23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23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23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23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23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23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23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23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23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23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23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23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23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23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23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23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23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23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23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23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23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23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23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23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23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23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23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23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23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23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23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23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23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23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23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23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23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23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23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23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23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23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23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23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23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23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23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23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23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23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23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23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23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23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23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23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23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23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23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23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23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23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23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23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23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23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23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23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23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23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23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23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23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23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23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23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23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23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23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23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23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23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23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23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23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23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23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23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23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23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23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23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23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23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23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23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23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23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23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23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23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23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23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23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23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23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23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23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23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23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23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23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23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23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23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23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23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23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23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23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23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23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23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23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23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23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23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23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23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23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23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23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23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23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23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23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23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23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23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23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23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23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23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23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23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23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23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23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23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23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23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23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23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23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23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23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23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23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23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23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23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23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23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23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23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23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23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23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23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23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23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23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23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23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23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23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23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23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23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23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23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23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23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23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23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23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23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23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23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23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23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23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23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23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23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23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23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23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23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23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23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23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23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23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23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23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23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23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23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23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23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23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23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23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23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23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23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23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23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23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23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23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23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23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23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23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23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23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23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23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23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23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23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23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23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23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23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23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23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23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23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23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23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23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23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23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23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23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23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23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23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23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23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23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23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23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23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23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23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23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23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23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23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23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23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23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23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23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23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23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23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23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23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23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23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23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23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23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23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23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23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23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23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23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23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23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23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23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23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23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23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23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23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23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23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23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23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23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23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23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23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23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23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23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23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23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23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23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23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23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23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23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23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23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23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23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23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"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Z1000"/>
  <sheetViews>
    <sheetView workbookViewId="0">
      <pane ySplit="2" topLeftCell="A3" activePane="bottomLeft" state="frozen"/>
      <selection pane="bottomLeft" sqref="A1:I1"/>
    </sheetView>
  </sheetViews>
  <sheetFormatPr defaultColWidth="12.5703125" defaultRowHeight="15" customHeight="1"/>
  <cols>
    <col min="1" max="1" width="4.7109375" customWidth="1"/>
    <col min="2" max="2" width="4.28515625" customWidth="1"/>
    <col min="3" max="3" width="13.85546875" customWidth="1"/>
    <col min="4" max="4" width="11.28515625" customWidth="1"/>
    <col min="5" max="5" width="10.5703125" customWidth="1"/>
    <col min="6" max="6" width="4.28515625" customWidth="1"/>
    <col min="7" max="7" width="8" customWidth="1"/>
    <col min="9" max="9" width="14.28515625" customWidth="1"/>
    <col min="10" max="13" width="11.42578125" customWidth="1"/>
    <col min="14" max="26" width="10" customWidth="1"/>
  </cols>
  <sheetData>
    <row r="1" spans="1:26" ht="18" customHeight="1">
      <c r="A1" s="92" t="s">
        <v>8</v>
      </c>
      <c r="B1" s="93"/>
      <c r="C1" s="93"/>
      <c r="D1" s="93"/>
      <c r="E1" s="93"/>
      <c r="F1" s="93"/>
      <c r="G1" s="93"/>
      <c r="H1" s="93"/>
      <c r="I1" s="94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" customHeight="1">
      <c r="A2" s="95" t="s">
        <v>9</v>
      </c>
      <c r="B2" s="96"/>
      <c r="C2" s="96"/>
      <c r="D2" s="96"/>
      <c r="E2" s="96"/>
      <c r="F2" s="96"/>
      <c r="G2" s="96"/>
      <c r="H2" s="96"/>
      <c r="I2" s="97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8" customHeight="1">
      <c r="A3" s="78">
        <v>1</v>
      </c>
      <c r="B3" s="98" t="s">
        <v>10</v>
      </c>
      <c r="C3" s="83"/>
      <c r="D3" s="71" t="s">
        <v>11</v>
      </c>
      <c r="E3" s="72"/>
      <c r="F3" s="99"/>
      <c r="G3" s="74"/>
      <c r="H3" s="74"/>
      <c r="I3" s="7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8.75" customHeight="1">
      <c r="A4" s="80"/>
      <c r="B4" s="86"/>
      <c r="C4" s="87"/>
      <c r="D4" s="71" t="s">
        <v>12</v>
      </c>
      <c r="E4" s="72"/>
      <c r="F4" s="99"/>
      <c r="G4" s="74"/>
      <c r="H4" s="74"/>
      <c r="I4" s="7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0.25" customHeight="1">
      <c r="A5" s="78">
        <v>2</v>
      </c>
      <c r="B5" s="98" t="s">
        <v>13</v>
      </c>
      <c r="C5" s="83"/>
      <c r="D5" s="71" t="s">
        <v>14</v>
      </c>
      <c r="E5" s="72"/>
      <c r="F5" s="99"/>
      <c r="G5" s="74"/>
      <c r="H5" s="74"/>
      <c r="I5" s="7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21" customHeight="1">
      <c r="A6" s="80"/>
      <c r="B6" s="86"/>
      <c r="C6" s="87"/>
      <c r="D6" s="71" t="s">
        <v>15</v>
      </c>
      <c r="E6" s="72"/>
      <c r="F6" s="99"/>
      <c r="G6" s="74"/>
      <c r="H6" s="74"/>
      <c r="I6" s="72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2" customHeight="1">
      <c r="A7" s="78">
        <v>3</v>
      </c>
      <c r="B7" s="100" t="s">
        <v>16</v>
      </c>
      <c r="C7" s="74"/>
      <c r="D7" s="74"/>
      <c r="E7" s="74"/>
      <c r="F7" s="74"/>
      <c r="G7" s="74"/>
      <c r="H7" s="74"/>
      <c r="I7" s="7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1.75" customHeight="1">
      <c r="A8" s="79"/>
      <c r="B8" s="15">
        <v>3.1</v>
      </c>
      <c r="C8" s="76" t="s">
        <v>17</v>
      </c>
      <c r="D8" s="72"/>
      <c r="E8" s="101"/>
      <c r="F8" s="74"/>
      <c r="G8" s="74"/>
      <c r="H8" s="74"/>
      <c r="I8" s="7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23.25" customHeight="1">
      <c r="A9" s="79"/>
      <c r="B9" s="16">
        <v>3.2</v>
      </c>
      <c r="C9" s="76" t="s">
        <v>18</v>
      </c>
      <c r="D9" s="72"/>
      <c r="E9" s="101"/>
      <c r="F9" s="74"/>
      <c r="G9" s="74"/>
      <c r="H9" s="74"/>
      <c r="I9" s="7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22.5" customHeight="1">
      <c r="A10" s="79"/>
      <c r="B10" s="81">
        <v>3.3</v>
      </c>
      <c r="C10" s="82" t="s">
        <v>19</v>
      </c>
      <c r="D10" s="83"/>
      <c r="E10" s="71" t="s">
        <v>20</v>
      </c>
      <c r="F10" s="72"/>
      <c r="G10" s="73"/>
      <c r="H10" s="74"/>
      <c r="I10" s="72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21.75" customHeight="1">
      <c r="A11" s="79"/>
      <c r="B11" s="79"/>
      <c r="C11" s="84"/>
      <c r="D11" s="85"/>
      <c r="E11" s="71" t="s">
        <v>21</v>
      </c>
      <c r="F11" s="72"/>
      <c r="G11" s="73"/>
      <c r="H11" s="74"/>
      <c r="I11" s="7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24" customHeight="1">
      <c r="A12" s="80"/>
      <c r="B12" s="80"/>
      <c r="C12" s="86"/>
      <c r="D12" s="87"/>
      <c r="E12" s="71" t="s">
        <v>22</v>
      </c>
      <c r="F12" s="72"/>
      <c r="G12" s="73"/>
      <c r="H12" s="74"/>
      <c r="I12" s="7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2.75" customHeight="1">
      <c r="A13" s="78">
        <v>4</v>
      </c>
      <c r="B13" s="75" t="s">
        <v>23</v>
      </c>
      <c r="C13" s="74"/>
      <c r="D13" s="74"/>
      <c r="E13" s="74"/>
      <c r="F13" s="74"/>
      <c r="G13" s="74"/>
      <c r="H13" s="74"/>
      <c r="I13" s="7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23.25" customHeight="1">
      <c r="A14" s="79"/>
      <c r="B14" s="88">
        <v>4.0999999999999996</v>
      </c>
      <c r="C14" s="76" t="s">
        <v>24</v>
      </c>
      <c r="D14" s="74"/>
      <c r="E14" s="77"/>
      <c r="F14" s="88">
        <v>4.2</v>
      </c>
      <c r="G14" s="76" t="s">
        <v>25</v>
      </c>
      <c r="H14" s="74"/>
      <c r="I14" s="72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25.5" customHeight="1">
      <c r="A15" s="79"/>
      <c r="B15" s="79"/>
      <c r="C15" s="17" t="s">
        <v>26</v>
      </c>
      <c r="D15" s="18">
        <f>+'F-2. MATRIZ PROB E IMPACTO.'!C11</f>
        <v>0.1</v>
      </c>
      <c r="E15" s="19"/>
      <c r="F15" s="79"/>
      <c r="G15" s="17" t="s">
        <v>27</v>
      </c>
      <c r="H15" s="18">
        <f>+'F-2. MATRIZ PROB E IMPACTO.'!D12</f>
        <v>0.05</v>
      </c>
      <c r="I15" s="19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5.5" customHeight="1">
      <c r="A16" s="79"/>
      <c r="B16" s="79"/>
      <c r="C16" s="17" t="s">
        <v>28</v>
      </c>
      <c r="D16" s="18">
        <f>+'F-2. MATRIZ PROB E IMPACTO.'!C10</f>
        <v>0.3</v>
      </c>
      <c r="E16" s="19"/>
      <c r="F16" s="79"/>
      <c r="G16" s="17" t="s">
        <v>29</v>
      </c>
      <c r="H16" s="18">
        <f>+'F-2. MATRIZ PROB E IMPACTO.'!E12</f>
        <v>0.1</v>
      </c>
      <c r="I16" s="19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25.5" customHeight="1">
      <c r="A17" s="79"/>
      <c r="B17" s="79"/>
      <c r="C17" s="17" t="s">
        <v>30</v>
      </c>
      <c r="D17" s="18">
        <f>+'F-2. MATRIZ PROB E IMPACTO.'!C9</f>
        <v>0.5</v>
      </c>
      <c r="E17" s="19"/>
      <c r="F17" s="79"/>
      <c r="G17" s="17" t="s">
        <v>31</v>
      </c>
      <c r="H17" s="18">
        <f>+'F-2. MATRIZ PROB E IMPACTO.'!F12</f>
        <v>0.2</v>
      </c>
      <c r="I17" s="19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25.5" customHeight="1">
      <c r="A18" s="79"/>
      <c r="B18" s="79"/>
      <c r="C18" s="17" t="s">
        <v>32</v>
      </c>
      <c r="D18" s="18">
        <f>+'F-2. MATRIZ PROB E IMPACTO.'!C8</f>
        <v>0.7</v>
      </c>
      <c r="E18" s="19"/>
      <c r="F18" s="79"/>
      <c r="G18" s="17" t="s">
        <v>33</v>
      </c>
      <c r="H18" s="18">
        <f>+'F-2. MATRIZ PROB E IMPACTO.'!G12</f>
        <v>0.4</v>
      </c>
      <c r="I18" s="19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25.5" customHeight="1">
      <c r="A19" s="79"/>
      <c r="B19" s="89"/>
      <c r="C19" s="17" t="s">
        <v>34</v>
      </c>
      <c r="D19" s="18">
        <f>+'F-2. MATRIZ PROB E IMPACTO.'!C7</f>
        <v>0.9</v>
      </c>
      <c r="E19" s="19"/>
      <c r="F19" s="89"/>
      <c r="G19" s="17" t="s">
        <v>35</v>
      </c>
      <c r="H19" s="18">
        <f>+'F-2. MATRIZ PROB E IMPACTO.'!H12</f>
        <v>0.8</v>
      </c>
      <c r="I19" s="19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5.5" customHeight="1">
      <c r="A20" s="79"/>
      <c r="B20" s="20"/>
      <c r="C20" s="90" t="str">
        <f t="array" ref="C20">IFERROR(INDEX(C15:E19,MATCH(IF(E15&gt;0,E15,IF(E16&gt;0,E16,IF(E17&gt;0,E17,IF(E18&gt;0,E18,IF(E19&gt;0,E19,""))))),E15:E19,0),1),"")</f>
        <v/>
      </c>
      <c r="D20" s="72"/>
      <c r="E20" s="21" t="str">
        <f t="array" ref="E20">IFERROR(INDEX(D15:E19,MATCH(IF(E15&gt;0,E15,IF(E16&gt;0,E16,IF(E17&gt;0,E17,IF(E18&gt;0,E18,IF(E19&gt;0,E19,""))))),E15:E19,0),1),"")</f>
        <v/>
      </c>
      <c r="F20" s="22"/>
      <c r="G20" s="90" t="str">
        <f t="array" ref="G20">IFERROR(INDEX(G15:I19,MATCH(IF(I15&gt;0,I15,IF(I16&gt;0,I16,IF(I17&gt;0,I17,IF(I18&gt;0,I18,IF(I19&gt;0,I19,""))))),I15:I19,0),1),"")</f>
        <v/>
      </c>
      <c r="H20" s="72"/>
      <c r="I20" s="21" t="str">
        <f t="array" ref="I20">IFERROR(INDEX(H15:I19,MATCH(IF(I15&gt;0,I15,IF(I16&gt;0,I16,IF(I17&gt;0,I17,IF(I18&gt;0,I18,IF(I19&gt;0,I19,""))))),I15:I19,0),1),"")</f>
        <v/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25" customHeight="1">
      <c r="A21" s="79"/>
      <c r="B21" s="81">
        <v>4.3</v>
      </c>
      <c r="C21" s="91" t="s">
        <v>36</v>
      </c>
      <c r="D21" s="74"/>
      <c r="E21" s="74"/>
      <c r="F21" s="74"/>
      <c r="G21" s="74"/>
      <c r="H21" s="74"/>
      <c r="I21" s="7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24.75" customHeight="1">
      <c r="A22" s="79"/>
      <c r="B22" s="79"/>
      <c r="C22" s="102" t="s">
        <v>37</v>
      </c>
      <c r="D22" s="103"/>
      <c r="E22" s="107">
        <f>+IFERROR(ROUND(E20*I20,3),0)</f>
        <v>0</v>
      </c>
      <c r="F22" s="102" t="s">
        <v>38</v>
      </c>
      <c r="G22" s="103"/>
      <c r="H22" s="111" t="str">
        <f>+IF(E22=0,"",IF(AND(E22&gt;=MIN('F-2. MATRIZ PROB E IMPACTO.'!F7:H7,'F-2. MATRIZ PROB E IMPACTO.'!G8:H8,'F-2. MATRIZ PROB E IMPACTO.'!G9:H9,'F-2. MATRIZ PROB E IMPACTO.'!H10),E22&lt;=MAX('F-2. MATRIZ PROB E IMPACTO.'!F7:H7,'F-2. MATRIZ PROB E IMPACTO.'!G8:H8,'F-2. MATRIZ PROB E IMPACTO.'!G9:H9,'F-2. MATRIZ PROB E IMPACTO.'!H10)),"Alta Prioridad",IF(AND(E22&gt;=MIN('F-2. MATRIZ PROB E IMPACTO.'!E7:E8,'F-2. MATRIZ PROB E IMPACTO.'!F8:F10,'F-2. MATRIZ PROB E IMPACTO.'!G10,'F-2. MATRIZ PROB E IMPACTO.'!H11),E22&lt;=MAX('F-2. MATRIZ PROB E IMPACTO.'!E7:E8,'F-2. MATRIZ PROB E IMPACTO.'!F8:F10,'F-2. MATRIZ PROB E IMPACTO.'!G10,'F-2. MATRIZ PROB E IMPACTO.'!H11)),"Prioridad Moderada",IF(AND(E22&gt;=MIN('F-2. MATRIZ PROB E IMPACTO.'!D7:D11,'F-2. MATRIZ PROB E IMPACTO.'!E9:E11,'F-2. MATRIZ PROB E IMPACTO.'!F11,'F-2. MATRIZ PROB E IMPACTO.'!G11),E22&lt;=MAX('F-2. MATRIZ PROB E IMPACTO.'!D7:D11,'F-2. MATRIZ PROB E IMPACTO.'!E9:E11,'F-2. MATRIZ PROB E IMPACTO.'!F11,'F-2. MATRIZ PROB E IMPACTO.'!G11, )),"Baja Prioridad",""))))</f>
        <v/>
      </c>
      <c r="I22" s="103"/>
      <c r="J22" s="13"/>
      <c r="K22" s="13"/>
      <c r="L22" s="13"/>
      <c r="M22" s="2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4.75" customHeight="1">
      <c r="A23" s="80"/>
      <c r="B23" s="80"/>
      <c r="C23" s="86"/>
      <c r="D23" s="104"/>
      <c r="E23" s="80"/>
      <c r="F23" s="86"/>
      <c r="G23" s="104"/>
      <c r="H23" s="86"/>
      <c r="I23" s="104"/>
      <c r="J23" s="13"/>
      <c r="K23" s="13"/>
      <c r="L23" s="13"/>
      <c r="M23" s="2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>
      <c r="A24" s="78">
        <v>5</v>
      </c>
      <c r="B24" s="75" t="s">
        <v>39</v>
      </c>
      <c r="C24" s="74"/>
      <c r="D24" s="74"/>
      <c r="E24" s="74"/>
      <c r="F24" s="74"/>
      <c r="G24" s="74"/>
      <c r="H24" s="74"/>
      <c r="I24" s="7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24.75" customHeight="1">
      <c r="A25" s="79"/>
      <c r="B25" s="88">
        <v>5.0999999999999996</v>
      </c>
      <c r="C25" s="82" t="s">
        <v>40</v>
      </c>
      <c r="D25" s="103"/>
      <c r="E25" s="108" t="s">
        <v>41</v>
      </c>
      <c r="F25" s="72"/>
      <c r="G25" s="24"/>
      <c r="H25" s="24" t="s">
        <v>42</v>
      </c>
      <c r="I25" s="2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24.75" customHeight="1">
      <c r="A26" s="79"/>
      <c r="B26" s="80"/>
      <c r="C26" s="86"/>
      <c r="D26" s="104"/>
      <c r="E26" s="108" t="s">
        <v>43</v>
      </c>
      <c r="F26" s="72"/>
      <c r="G26" s="24"/>
      <c r="H26" s="24" t="s">
        <v>44</v>
      </c>
      <c r="I26" s="2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24.75" customHeight="1">
      <c r="A27" s="79"/>
      <c r="B27" s="25">
        <v>5.2</v>
      </c>
      <c r="C27" s="76" t="s">
        <v>45</v>
      </c>
      <c r="D27" s="72"/>
      <c r="E27" s="109"/>
      <c r="F27" s="74"/>
      <c r="G27" s="74"/>
      <c r="H27" s="74"/>
      <c r="I27" s="72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55.5" customHeight="1">
      <c r="A28" s="80"/>
      <c r="B28" s="16">
        <v>5.3</v>
      </c>
      <c r="C28" s="76" t="s">
        <v>46</v>
      </c>
      <c r="D28" s="72"/>
      <c r="E28" s="110"/>
      <c r="F28" s="74"/>
      <c r="G28" s="74"/>
      <c r="H28" s="74"/>
      <c r="I28" s="72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2" customHeight="1">
      <c r="A29" s="26"/>
      <c r="B29" s="26"/>
      <c r="C29" s="26"/>
      <c r="D29" s="26"/>
      <c r="E29" s="26"/>
      <c r="F29" s="26"/>
      <c r="G29" s="26"/>
      <c r="H29" s="26"/>
      <c r="I29" s="26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" customHeight="1">
      <c r="A30" s="26"/>
      <c r="B30" s="26"/>
      <c r="C30" s="26"/>
      <c r="D30" s="26"/>
      <c r="E30" s="26"/>
      <c r="F30" s="26"/>
      <c r="G30" s="26"/>
      <c r="H30" s="26"/>
      <c r="I30" s="26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" customHeight="1">
      <c r="A31" s="26"/>
      <c r="B31" s="26"/>
      <c r="C31" s="26"/>
      <c r="D31" s="26"/>
      <c r="E31" s="26"/>
      <c r="F31" s="26"/>
      <c r="G31" s="26"/>
      <c r="H31" s="26"/>
      <c r="I31" s="26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8.5" customHeight="1">
      <c r="A35" s="13"/>
      <c r="B35" s="13"/>
      <c r="C35" s="105" t="s">
        <v>47</v>
      </c>
      <c r="D35" s="106"/>
      <c r="E35" s="106"/>
      <c r="F35" s="13"/>
      <c r="G35" s="105" t="s">
        <v>48</v>
      </c>
      <c r="H35" s="106"/>
      <c r="I35" s="106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" customHeight="1">
      <c r="A36" s="13"/>
      <c r="B36" s="13"/>
      <c r="C36" s="13" t="s">
        <v>49</v>
      </c>
      <c r="D36" s="13"/>
      <c r="E36" s="13"/>
      <c r="F36" s="13"/>
      <c r="G36" s="13" t="s">
        <v>50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" customHeight="1">
      <c r="A37" s="13"/>
      <c r="B37" s="13"/>
      <c r="C37" s="13"/>
      <c r="D37" s="13"/>
      <c r="E37" s="13"/>
      <c r="F37" s="13"/>
      <c r="G37" s="13" t="s">
        <v>51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2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2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2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2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2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2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2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2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2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2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2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2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2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2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2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2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2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2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2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2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2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2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2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2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2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2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2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2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2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2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2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2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2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2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2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2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2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2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2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2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2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2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2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2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2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2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2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2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2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2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2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2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2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2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2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2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2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2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2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2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2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2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2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2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2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2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2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2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2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2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2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2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2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2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2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2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2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2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2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2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2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2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2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2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2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2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2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2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2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2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2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2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2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2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2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2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2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2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2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2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2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2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2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2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2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2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2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2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2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2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2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2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2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2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2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2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2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2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2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2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2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2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2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2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2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2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2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2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2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2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2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2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2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2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2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2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2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2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2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2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2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2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2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2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2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2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2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2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2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2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2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2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2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2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2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2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2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2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2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2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2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2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2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2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2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2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2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2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2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2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2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2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2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2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2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2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2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2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2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2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2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2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2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2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2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2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2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2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2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2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2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2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2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2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2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2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2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2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2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2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2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2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2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2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2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2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2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2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2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2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2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2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2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2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2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2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2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2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2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2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2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2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2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2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2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2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2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2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2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2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2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2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2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2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2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2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2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2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2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2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2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2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2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2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2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2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2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2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2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2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2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2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2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2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2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2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2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2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2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2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2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2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2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2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2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2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2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2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2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2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2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2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2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2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2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2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2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2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2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2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2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2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2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2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2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2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2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2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2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2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2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2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2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2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2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2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2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2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2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2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2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2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2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2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2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2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2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2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2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2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2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2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2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2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2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2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2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2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2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2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2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2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2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2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2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2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2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2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2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2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54">
    <mergeCell ref="C35:E35"/>
    <mergeCell ref="E22:E23"/>
    <mergeCell ref="F22:G23"/>
    <mergeCell ref="E25:F25"/>
    <mergeCell ref="E26:F26"/>
    <mergeCell ref="E27:I27"/>
    <mergeCell ref="E28:I28"/>
    <mergeCell ref="G35:I35"/>
    <mergeCell ref="H22:I23"/>
    <mergeCell ref="B24:I24"/>
    <mergeCell ref="A24:A28"/>
    <mergeCell ref="B25:B26"/>
    <mergeCell ref="C20:D20"/>
    <mergeCell ref="C22:D23"/>
    <mergeCell ref="C25:D26"/>
    <mergeCell ref="C27:D27"/>
    <mergeCell ref="C28:D28"/>
    <mergeCell ref="F5:I5"/>
    <mergeCell ref="F6:I6"/>
    <mergeCell ref="B7:I7"/>
    <mergeCell ref="E8:I8"/>
    <mergeCell ref="E9:I9"/>
    <mergeCell ref="A5:A6"/>
    <mergeCell ref="B5:C6"/>
    <mergeCell ref="D5:E5"/>
    <mergeCell ref="D6:E6"/>
    <mergeCell ref="C8:D8"/>
    <mergeCell ref="A1:I1"/>
    <mergeCell ref="A2:I2"/>
    <mergeCell ref="B3:C4"/>
    <mergeCell ref="D3:E3"/>
    <mergeCell ref="F3:I3"/>
    <mergeCell ref="D4:E4"/>
    <mergeCell ref="F4:I4"/>
    <mergeCell ref="A3:A4"/>
    <mergeCell ref="C14:E14"/>
    <mergeCell ref="G14:I14"/>
    <mergeCell ref="A7:A12"/>
    <mergeCell ref="B10:B12"/>
    <mergeCell ref="C10:D12"/>
    <mergeCell ref="A13:A23"/>
    <mergeCell ref="F14:F19"/>
    <mergeCell ref="G20:H20"/>
    <mergeCell ref="C21:I21"/>
    <mergeCell ref="C9:D9"/>
    <mergeCell ref="E10:F10"/>
    <mergeCell ref="G10:I10"/>
    <mergeCell ref="B14:B19"/>
    <mergeCell ref="B21:B23"/>
    <mergeCell ref="E11:F11"/>
    <mergeCell ref="G11:I11"/>
    <mergeCell ref="E12:F12"/>
    <mergeCell ref="G12:I12"/>
    <mergeCell ref="B13:I13"/>
  </mergeCells>
  <pageMargins left="0.7" right="0.7" top="0.75" bottom="0.75" header="0" footer="0"/>
  <pageSetup orientation="landscape"/>
  <headerFooter>
    <oddFooter>&amp;C&amp;P de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Z1000"/>
  <sheetViews>
    <sheetView topLeftCell="A9" workbookViewId="0">
      <selection activeCell="B11" sqref="B11"/>
    </sheetView>
  </sheetViews>
  <sheetFormatPr defaultColWidth="12.5703125" defaultRowHeight="15" customHeight="1"/>
  <cols>
    <col min="1" max="1" width="11.42578125" customWidth="1"/>
    <col min="2" max="2" width="74.5703125" customWidth="1"/>
    <col min="3" max="3" width="55.85546875" customWidth="1"/>
    <col min="4" max="6" width="11.42578125" customWidth="1"/>
    <col min="7" max="26" width="10" customWidth="1"/>
  </cols>
  <sheetData>
    <row r="1" spans="1:26" ht="33" customHeight="1">
      <c r="A1" s="112" t="s">
        <v>52</v>
      </c>
      <c r="B1" s="94"/>
      <c r="C1" s="27" t="s">
        <v>53</v>
      </c>
      <c r="D1" s="28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" customHeight="1">
      <c r="A2" s="30" t="s">
        <v>54</v>
      </c>
      <c r="B2" s="30" t="s">
        <v>55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30.75" customHeight="1">
      <c r="A3" s="31">
        <v>1</v>
      </c>
      <c r="B3" s="32" t="s">
        <v>56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7.25" customHeight="1">
      <c r="A4" s="31">
        <f>1+A3</f>
        <v>2</v>
      </c>
      <c r="B4" s="32" t="s">
        <v>57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30.75" customHeight="1">
      <c r="A5" s="31">
        <v>3.1</v>
      </c>
      <c r="B5" s="32" t="s">
        <v>58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62.25" customHeight="1">
      <c r="A6" s="31">
        <v>3.2</v>
      </c>
      <c r="B6" s="32" t="s">
        <v>59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30.75" customHeight="1">
      <c r="A7" s="31">
        <v>3.3</v>
      </c>
      <c r="B7" s="32" t="s">
        <v>60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30.75" customHeight="1">
      <c r="A8" s="31">
        <v>4.0999999999999996</v>
      </c>
      <c r="B8" s="32" t="s">
        <v>61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30.75" customHeight="1">
      <c r="A9" s="31">
        <v>4.2</v>
      </c>
      <c r="B9" s="32" t="s">
        <v>62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58.5" customHeight="1">
      <c r="A10" s="31">
        <v>4.3</v>
      </c>
      <c r="B10" s="32" t="s">
        <v>63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204" customHeight="1">
      <c r="A11" s="31">
        <v>5.0999999999999996</v>
      </c>
      <c r="B11" s="32" t="s">
        <v>64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31.5" customHeight="1">
      <c r="A12" s="31">
        <v>5.2</v>
      </c>
      <c r="B12" s="32" t="s">
        <v>65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31.5" customHeight="1">
      <c r="A13" s="31">
        <v>5.3</v>
      </c>
      <c r="B13" s="32" t="s">
        <v>66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2.75" customHeight="1">
      <c r="A14" s="33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2.75" customHeight="1">
      <c r="A15" s="33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2.75" customHeight="1">
      <c r="A16" s="33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2.75" customHeight="1">
      <c r="A17" s="33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2.75" customHeight="1">
      <c r="A18" s="33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2.75" customHeight="1">
      <c r="A19" s="33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2.75" customHeight="1">
      <c r="A20" s="33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2.75" customHeight="1">
      <c r="A21" s="33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2.75" customHeight="1">
      <c r="A22" s="33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2.75" customHeight="1">
      <c r="A23" s="33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2.75" customHeight="1">
      <c r="A24" s="33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2.75" customHeight="1">
      <c r="A25" s="33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2.75" customHeight="1">
      <c r="A26" s="33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2.75" customHeight="1">
      <c r="A27" s="33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2.75" customHeight="1">
      <c r="A28" s="33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2.75" customHeight="1">
      <c r="A29" s="33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2.75" customHeight="1">
      <c r="A30" s="33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2.75" customHeight="1">
      <c r="A31" s="33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2.75" customHeight="1">
      <c r="A32" s="33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2.75" customHeight="1">
      <c r="A33" s="33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2.75" customHeight="1">
      <c r="A34" s="33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2.75" customHeight="1">
      <c r="A35" s="33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2.75" customHeight="1">
      <c r="A36" s="33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2.75" customHeight="1">
      <c r="A37" s="33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2.75" customHeight="1">
      <c r="A38" s="33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2.75" customHeight="1">
      <c r="A39" s="33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2.75" customHeight="1">
      <c r="A40" s="33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2.75" customHeight="1">
      <c r="A41" s="33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2.75" customHeight="1">
      <c r="A42" s="33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2.75" customHeight="1">
      <c r="A43" s="33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2.75" customHeight="1">
      <c r="A44" s="33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2.75" customHeight="1">
      <c r="A45" s="33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2.75" customHeight="1">
      <c r="A46" s="33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2.75" customHeight="1">
      <c r="A47" s="33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2.75" customHeight="1">
      <c r="A48" s="33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2.75" customHeight="1">
      <c r="A49" s="33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2.75" customHeight="1">
      <c r="A50" s="33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2.75" customHeight="1">
      <c r="A51" s="33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2.75" customHeight="1">
      <c r="A52" s="33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2.75" customHeight="1">
      <c r="A53" s="33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2.75" customHeight="1">
      <c r="A54" s="33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2.75" customHeight="1">
      <c r="A55" s="33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2.75" customHeight="1">
      <c r="A56" s="33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2.75" customHeight="1">
      <c r="A57" s="33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2.75" customHeight="1">
      <c r="A58" s="33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2.75" customHeight="1">
      <c r="A59" s="33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2.75" customHeight="1">
      <c r="A60" s="33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2.75" customHeight="1">
      <c r="A61" s="33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2.75" customHeight="1">
      <c r="A62" s="33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2.75" customHeight="1">
      <c r="A63" s="33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2.75" customHeight="1">
      <c r="A64" s="33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2.75" customHeight="1">
      <c r="A65" s="33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2.75" customHeight="1">
      <c r="A66" s="33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2.75" customHeight="1">
      <c r="A67" s="33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2.75" customHeight="1">
      <c r="A68" s="33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2.75" customHeight="1">
      <c r="A69" s="33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2.75" customHeight="1">
      <c r="A70" s="33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2.75" customHeight="1">
      <c r="A71" s="33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2.75" customHeight="1">
      <c r="A72" s="33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2.75" customHeight="1">
      <c r="A73" s="33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2.75" customHeight="1">
      <c r="A74" s="33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2.75" customHeight="1">
      <c r="A75" s="33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2.75" customHeight="1">
      <c r="A76" s="33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2.75" customHeight="1">
      <c r="A77" s="33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2.75" customHeight="1">
      <c r="A78" s="33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2.75" customHeight="1">
      <c r="A79" s="33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2.75" customHeight="1">
      <c r="A80" s="33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2.75" customHeight="1">
      <c r="A81" s="33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2.75" customHeight="1">
      <c r="A82" s="33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2.75" customHeight="1">
      <c r="A83" s="33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2.75" customHeight="1">
      <c r="A84" s="33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2.75" customHeight="1">
      <c r="A85" s="33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2.75" customHeight="1">
      <c r="A86" s="33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2.75" customHeight="1">
      <c r="A87" s="33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2.75" customHeight="1">
      <c r="A88" s="33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2.75" customHeight="1">
      <c r="A89" s="33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2.75" customHeight="1">
      <c r="A90" s="33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2.75" customHeight="1">
      <c r="A91" s="33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2.75" customHeight="1">
      <c r="A92" s="33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2.75" customHeight="1">
      <c r="A93" s="33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2.75" customHeight="1">
      <c r="A94" s="33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2.75" customHeight="1">
      <c r="A95" s="33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2.75" customHeight="1">
      <c r="A96" s="33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2.75" customHeight="1">
      <c r="A97" s="33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2.75" customHeight="1">
      <c r="A98" s="33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2.75" customHeight="1">
      <c r="A99" s="33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2.75" customHeight="1">
      <c r="A100" s="33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2.75" customHeight="1">
      <c r="A101" s="33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2.75" customHeight="1">
      <c r="A102" s="33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2.75" customHeight="1">
      <c r="A103" s="33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2.75" customHeight="1">
      <c r="A104" s="33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2.75" customHeight="1">
      <c r="A105" s="33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2.75" customHeight="1">
      <c r="A106" s="33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2.75" customHeight="1">
      <c r="A107" s="33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2.75" customHeight="1">
      <c r="A108" s="33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2.75" customHeight="1">
      <c r="A109" s="33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2.75" customHeight="1">
      <c r="A110" s="33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2.75" customHeight="1">
      <c r="A111" s="33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2.75" customHeight="1">
      <c r="A112" s="33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2.75" customHeight="1">
      <c r="A113" s="33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2.75" customHeight="1">
      <c r="A114" s="33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2.75" customHeight="1">
      <c r="A115" s="33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2.75" customHeight="1">
      <c r="A116" s="33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2.75" customHeight="1">
      <c r="A117" s="33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2.75" customHeight="1">
      <c r="A118" s="33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2.75" customHeight="1">
      <c r="A119" s="33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2.75" customHeight="1">
      <c r="A120" s="33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2.75" customHeight="1">
      <c r="A121" s="33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2.75" customHeight="1">
      <c r="A122" s="33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2.75" customHeight="1">
      <c r="A123" s="33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2.75" customHeight="1">
      <c r="A124" s="33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2.75" customHeight="1">
      <c r="A125" s="33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2.75" customHeight="1">
      <c r="A126" s="33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2.75" customHeight="1">
      <c r="A127" s="33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2.75" customHeight="1">
      <c r="A128" s="33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2.75" customHeight="1">
      <c r="A129" s="33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2.75" customHeight="1">
      <c r="A130" s="33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2.75" customHeight="1">
      <c r="A131" s="33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2.75" customHeight="1">
      <c r="A132" s="33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2.75" customHeight="1">
      <c r="A133" s="33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2.75" customHeight="1">
      <c r="A134" s="33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2.75" customHeight="1">
      <c r="A135" s="33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2.75" customHeight="1">
      <c r="A136" s="33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2.75" customHeight="1">
      <c r="A137" s="33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2.75" customHeight="1">
      <c r="A138" s="33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2.75" customHeight="1">
      <c r="A139" s="33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2.75" customHeight="1">
      <c r="A140" s="33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2.75" customHeight="1">
      <c r="A141" s="33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2.75" customHeight="1">
      <c r="A142" s="33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2.75" customHeight="1">
      <c r="A143" s="33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2.75" customHeight="1">
      <c r="A144" s="33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2.75" customHeight="1">
      <c r="A145" s="33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2.75" customHeight="1">
      <c r="A146" s="33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2.75" customHeight="1">
      <c r="A147" s="33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2.75" customHeight="1">
      <c r="A148" s="33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2.75" customHeight="1">
      <c r="A149" s="33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2.75" customHeight="1">
      <c r="A150" s="33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2.75" customHeight="1">
      <c r="A151" s="33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2.75" customHeight="1">
      <c r="A152" s="33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2.75" customHeight="1">
      <c r="A153" s="33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2.75" customHeight="1">
      <c r="A154" s="33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2.75" customHeight="1">
      <c r="A155" s="33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2.75" customHeight="1">
      <c r="A156" s="33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2.75" customHeight="1">
      <c r="A157" s="33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2.75" customHeight="1">
      <c r="A158" s="33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2.75" customHeight="1">
      <c r="A159" s="33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2.75" customHeight="1">
      <c r="A160" s="33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2.75" customHeight="1">
      <c r="A161" s="33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2.75" customHeight="1">
      <c r="A162" s="33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2.75" customHeight="1">
      <c r="A163" s="33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2.75" customHeight="1">
      <c r="A164" s="33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2.75" customHeight="1">
      <c r="A165" s="33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2.75" customHeight="1">
      <c r="A166" s="33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2.75" customHeight="1">
      <c r="A167" s="33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2.75" customHeight="1">
      <c r="A168" s="33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2.75" customHeight="1">
      <c r="A169" s="33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2.75" customHeight="1">
      <c r="A170" s="33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2.75" customHeight="1">
      <c r="A171" s="33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2.75" customHeight="1">
      <c r="A172" s="33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2.75" customHeight="1">
      <c r="A173" s="33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2.75" customHeight="1">
      <c r="A174" s="33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2.75" customHeight="1">
      <c r="A175" s="33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2.75" customHeight="1">
      <c r="A176" s="33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2.75" customHeight="1">
      <c r="A177" s="33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2.75" customHeight="1">
      <c r="A178" s="33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2.75" customHeight="1">
      <c r="A179" s="33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2.75" customHeight="1">
      <c r="A180" s="33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2.75" customHeight="1">
      <c r="A181" s="33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2.75" customHeight="1">
      <c r="A182" s="33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2.75" customHeight="1">
      <c r="A183" s="33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2.75" customHeight="1">
      <c r="A184" s="33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2.75" customHeight="1">
      <c r="A185" s="33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2.75" customHeight="1">
      <c r="A186" s="33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2.75" customHeight="1">
      <c r="A187" s="33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2.75" customHeight="1">
      <c r="A188" s="33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2.75" customHeight="1">
      <c r="A189" s="33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2.75" customHeight="1">
      <c r="A190" s="33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2.75" customHeight="1">
      <c r="A191" s="33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2.75" customHeight="1">
      <c r="A192" s="33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2.75" customHeight="1">
      <c r="A193" s="33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2.75" customHeight="1">
      <c r="A194" s="33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2.75" customHeight="1">
      <c r="A195" s="33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2.75" customHeight="1">
      <c r="A196" s="33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2.75" customHeight="1">
      <c r="A197" s="33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2.75" customHeight="1">
      <c r="A198" s="33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2.75" customHeight="1">
      <c r="A199" s="33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2.75" customHeight="1">
      <c r="A200" s="33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2.75" customHeight="1">
      <c r="A201" s="33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2.75" customHeight="1">
      <c r="A202" s="33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2.75" customHeight="1">
      <c r="A203" s="33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2.75" customHeight="1">
      <c r="A204" s="33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2.75" customHeight="1">
      <c r="A205" s="33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2.75" customHeight="1">
      <c r="A206" s="33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2.75" customHeight="1">
      <c r="A207" s="33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2.75" customHeight="1">
      <c r="A208" s="33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2.75" customHeight="1">
      <c r="A209" s="33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2.75" customHeight="1">
      <c r="A210" s="33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2.75" customHeight="1">
      <c r="A211" s="33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2.75" customHeight="1">
      <c r="A212" s="33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2.75" customHeight="1">
      <c r="A213" s="33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2.75" customHeight="1">
      <c r="A214" s="33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2.75" customHeight="1">
      <c r="A215" s="33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2.75" customHeight="1">
      <c r="A216" s="33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2.75" customHeight="1">
      <c r="A217" s="33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2.75" customHeight="1">
      <c r="A218" s="33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2.75" customHeight="1">
      <c r="A219" s="33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2.75" customHeight="1">
      <c r="A220" s="33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2.75" customHeight="1">
      <c r="A221" s="33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2.75" customHeight="1">
      <c r="A222" s="33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2.75" customHeight="1">
      <c r="A223" s="33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2.75" customHeight="1">
      <c r="A224" s="33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2.75" customHeight="1">
      <c r="A225" s="33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2.75" customHeight="1">
      <c r="A226" s="33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2.75" customHeight="1">
      <c r="A227" s="33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2.75" customHeight="1">
      <c r="A228" s="33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2.75" customHeight="1">
      <c r="A229" s="33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2.75" customHeight="1">
      <c r="A230" s="33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2.75" customHeight="1">
      <c r="A231" s="33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2.75" customHeight="1">
      <c r="A232" s="33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2.75" customHeight="1">
      <c r="A233" s="33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2.75" customHeight="1">
      <c r="A234" s="33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2.75" customHeight="1">
      <c r="A235" s="33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2.75" customHeight="1">
      <c r="A236" s="33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2.75" customHeight="1">
      <c r="A237" s="33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2.75" customHeight="1">
      <c r="A238" s="33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2.75" customHeight="1">
      <c r="A239" s="33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2.75" customHeight="1">
      <c r="A240" s="33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2.75" customHeight="1">
      <c r="A241" s="33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2.75" customHeight="1">
      <c r="A242" s="33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2.75" customHeight="1">
      <c r="A243" s="33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2.75" customHeight="1">
      <c r="A244" s="33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2.75" customHeight="1">
      <c r="A245" s="33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2.75" customHeight="1">
      <c r="A246" s="33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2.75" customHeight="1">
      <c r="A247" s="33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2.75" customHeight="1">
      <c r="A248" s="33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2.75" customHeight="1">
      <c r="A249" s="33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2.75" customHeight="1">
      <c r="A250" s="33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2.75" customHeight="1">
      <c r="A251" s="33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2.75" customHeight="1">
      <c r="A252" s="33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2.75" customHeight="1">
      <c r="A253" s="33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2.75" customHeight="1">
      <c r="A254" s="33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2.75" customHeight="1">
      <c r="A255" s="33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2.75" customHeight="1">
      <c r="A256" s="33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2.75" customHeight="1">
      <c r="A257" s="33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2.75" customHeight="1">
      <c r="A258" s="33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2.75" customHeight="1">
      <c r="A259" s="33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2.75" customHeight="1">
      <c r="A260" s="33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2.75" customHeight="1">
      <c r="A261" s="33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2.75" customHeight="1">
      <c r="A262" s="33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2.75" customHeight="1">
      <c r="A263" s="33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2.75" customHeight="1">
      <c r="A264" s="33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2.75" customHeight="1">
      <c r="A265" s="33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2.75" customHeight="1">
      <c r="A266" s="33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2.75" customHeight="1">
      <c r="A267" s="33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2.75" customHeight="1">
      <c r="A268" s="33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2.75" customHeight="1">
      <c r="A269" s="33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2.75" customHeight="1">
      <c r="A270" s="33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2.75" customHeight="1">
      <c r="A271" s="33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2.75" customHeight="1">
      <c r="A272" s="33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2.75" customHeight="1">
      <c r="A273" s="33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2.75" customHeight="1">
      <c r="A274" s="33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2.75" customHeight="1">
      <c r="A275" s="33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2.75" customHeight="1">
      <c r="A276" s="33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2.75" customHeight="1">
      <c r="A277" s="33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2.75" customHeight="1">
      <c r="A278" s="33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2.75" customHeight="1">
      <c r="A279" s="33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2.75" customHeight="1">
      <c r="A280" s="33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2.75" customHeight="1">
      <c r="A281" s="33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2.75" customHeight="1">
      <c r="A282" s="33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2.75" customHeight="1">
      <c r="A283" s="33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2.75" customHeight="1">
      <c r="A284" s="33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2.75" customHeight="1">
      <c r="A285" s="33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2.75" customHeight="1">
      <c r="A286" s="33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2.75" customHeight="1">
      <c r="A287" s="33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2.75" customHeight="1">
      <c r="A288" s="33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2.75" customHeight="1">
      <c r="A289" s="33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2.75" customHeight="1">
      <c r="A290" s="33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2.75" customHeight="1">
      <c r="A291" s="33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2.75" customHeight="1">
      <c r="A292" s="33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2.75" customHeight="1">
      <c r="A293" s="33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2.75" customHeight="1">
      <c r="A294" s="33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2.75" customHeight="1">
      <c r="A295" s="33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2.75" customHeight="1">
      <c r="A296" s="33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2.75" customHeight="1">
      <c r="A297" s="33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2.75" customHeight="1">
      <c r="A298" s="33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2.75" customHeight="1">
      <c r="A299" s="33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2.75" customHeight="1">
      <c r="A300" s="33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2.75" customHeight="1">
      <c r="A301" s="33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2.75" customHeight="1">
      <c r="A302" s="33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2.75" customHeight="1">
      <c r="A303" s="33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2.75" customHeight="1">
      <c r="A304" s="33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2.75" customHeight="1">
      <c r="A305" s="33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2.75" customHeight="1">
      <c r="A306" s="33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2.75" customHeight="1">
      <c r="A307" s="33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2.75" customHeight="1">
      <c r="A308" s="33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2.75" customHeight="1">
      <c r="A309" s="33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2.75" customHeight="1">
      <c r="A310" s="33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2.75" customHeight="1">
      <c r="A311" s="33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2.75" customHeight="1">
      <c r="A312" s="33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2.75" customHeight="1">
      <c r="A313" s="33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2.75" customHeight="1">
      <c r="A314" s="33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2.75" customHeight="1">
      <c r="A315" s="33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2.75" customHeight="1">
      <c r="A316" s="33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2.75" customHeight="1">
      <c r="A317" s="33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2.75" customHeight="1">
      <c r="A318" s="33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2.75" customHeight="1">
      <c r="A319" s="33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2.75" customHeight="1">
      <c r="A320" s="33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2.75" customHeight="1">
      <c r="A321" s="33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2.75" customHeight="1">
      <c r="A322" s="33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2.75" customHeight="1">
      <c r="A323" s="33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2.75" customHeight="1">
      <c r="A324" s="33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2.75" customHeight="1">
      <c r="A325" s="33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2.75" customHeight="1">
      <c r="A326" s="33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2.75" customHeight="1">
      <c r="A327" s="33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2.75" customHeight="1">
      <c r="A328" s="33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2.75" customHeight="1">
      <c r="A329" s="33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2.75" customHeight="1">
      <c r="A330" s="33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2.75" customHeight="1">
      <c r="A331" s="33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2.75" customHeight="1">
      <c r="A332" s="33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2.75" customHeight="1">
      <c r="A333" s="33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2.75" customHeight="1">
      <c r="A334" s="33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2.75" customHeight="1">
      <c r="A335" s="33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2.75" customHeight="1">
      <c r="A336" s="33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2.75" customHeight="1">
      <c r="A337" s="33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2.75" customHeight="1">
      <c r="A338" s="33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2.75" customHeight="1">
      <c r="A339" s="33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2.75" customHeight="1">
      <c r="A340" s="33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2.75" customHeight="1">
      <c r="A341" s="33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2.75" customHeight="1">
      <c r="A342" s="33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2.75" customHeight="1">
      <c r="A343" s="33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2.75" customHeight="1">
      <c r="A344" s="33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2.75" customHeight="1">
      <c r="A345" s="33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2.75" customHeight="1">
      <c r="A346" s="33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2.75" customHeight="1">
      <c r="A347" s="33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2.75" customHeight="1">
      <c r="A348" s="33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2.75" customHeight="1">
      <c r="A349" s="33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2.75" customHeight="1">
      <c r="A350" s="33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2.75" customHeight="1">
      <c r="A351" s="33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2.75" customHeight="1">
      <c r="A352" s="33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2.75" customHeight="1">
      <c r="A353" s="33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2.75" customHeight="1">
      <c r="A354" s="33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2.75" customHeight="1">
      <c r="A355" s="33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2.75" customHeight="1">
      <c r="A356" s="33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2.75" customHeight="1">
      <c r="A357" s="33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2.75" customHeight="1">
      <c r="A358" s="33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2.75" customHeight="1">
      <c r="A359" s="33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2.75" customHeight="1">
      <c r="A360" s="33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2.75" customHeight="1">
      <c r="A361" s="33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2.75" customHeight="1">
      <c r="A362" s="33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2.75" customHeight="1">
      <c r="A363" s="33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2.75" customHeight="1">
      <c r="A364" s="33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2.75" customHeight="1">
      <c r="A365" s="33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2.75" customHeight="1">
      <c r="A366" s="33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2.75" customHeight="1">
      <c r="A367" s="33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2.75" customHeight="1">
      <c r="A368" s="33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2.75" customHeight="1">
      <c r="A369" s="33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2.75" customHeight="1">
      <c r="A370" s="33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2.75" customHeight="1">
      <c r="A371" s="33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2.75" customHeight="1">
      <c r="A372" s="33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2.75" customHeight="1">
      <c r="A373" s="33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2.75" customHeight="1">
      <c r="A374" s="33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2.75" customHeight="1">
      <c r="A375" s="33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2.75" customHeight="1">
      <c r="A376" s="33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2.75" customHeight="1">
      <c r="A377" s="33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2.75" customHeight="1">
      <c r="A378" s="33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2.75" customHeight="1">
      <c r="A379" s="33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2.75" customHeight="1">
      <c r="A380" s="33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2.75" customHeight="1">
      <c r="A381" s="33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2.75" customHeight="1">
      <c r="A382" s="33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2.75" customHeight="1">
      <c r="A383" s="33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2.75" customHeight="1">
      <c r="A384" s="33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2.75" customHeight="1">
      <c r="A385" s="33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2.75" customHeight="1">
      <c r="A386" s="33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2.75" customHeight="1">
      <c r="A387" s="33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2.75" customHeight="1">
      <c r="A388" s="33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2.75" customHeight="1">
      <c r="A389" s="33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2.75" customHeight="1">
      <c r="A390" s="33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2.75" customHeight="1">
      <c r="A391" s="33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2.75" customHeight="1">
      <c r="A392" s="33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2.75" customHeight="1">
      <c r="A393" s="33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2.75" customHeight="1">
      <c r="A394" s="33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2.75" customHeight="1">
      <c r="A395" s="33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2.75" customHeight="1">
      <c r="A396" s="33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2.75" customHeight="1">
      <c r="A397" s="33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2.75" customHeight="1">
      <c r="A398" s="33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2.75" customHeight="1">
      <c r="A399" s="33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2.75" customHeight="1">
      <c r="A400" s="33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2.75" customHeight="1">
      <c r="A401" s="33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2.75" customHeight="1">
      <c r="A402" s="33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2.75" customHeight="1">
      <c r="A403" s="33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2.75" customHeight="1">
      <c r="A404" s="33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2.75" customHeight="1">
      <c r="A405" s="33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2.75" customHeight="1">
      <c r="A406" s="33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2.75" customHeight="1">
      <c r="A407" s="33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2.75" customHeight="1">
      <c r="A408" s="33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2.75" customHeight="1">
      <c r="A409" s="33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2.75" customHeight="1">
      <c r="A410" s="33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2.75" customHeight="1">
      <c r="A411" s="33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2.75" customHeight="1">
      <c r="A412" s="33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2.75" customHeight="1">
      <c r="A413" s="33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2.75" customHeight="1">
      <c r="A414" s="33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2.75" customHeight="1">
      <c r="A415" s="33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2.75" customHeight="1">
      <c r="A416" s="33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2.75" customHeight="1">
      <c r="A417" s="33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2.75" customHeight="1">
      <c r="A418" s="33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2.75" customHeight="1">
      <c r="A419" s="33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2.75" customHeight="1">
      <c r="A420" s="33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2.75" customHeight="1">
      <c r="A421" s="33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2.75" customHeight="1">
      <c r="A422" s="33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2.75" customHeight="1">
      <c r="A423" s="33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2.75" customHeight="1">
      <c r="A424" s="33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2.75" customHeight="1">
      <c r="A425" s="33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2.75" customHeight="1">
      <c r="A426" s="33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2.75" customHeight="1">
      <c r="A427" s="33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2.75" customHeight="1">
      <c r="A428" s="33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2.75" customHeight="1">
      <c r="A429" s="33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2.75" customHeight="1">
      <c r="A430" s="33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2.75" customHeight="1">
      <c r="A431" s="33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2.75" customHeight="1">
      <c r="A432" s="33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2.75" customHeight="1">
      <c r="A433" s="33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2.75" customHeight="1">
      <c r="A434" s="33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2.75" customHeight="1">
      <c r="A435" s="33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2.75" customHeight="1">
      <c r="A436" s="33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2.75" customHeight="1">
      <c r="A437" s="33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2.75" customHeight="1">
      <c r="A438" s="33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2.75" customHeight="1">
      <c r="A439" s="33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2.75" customHeight="1">
      <c r="A440" s="33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2.75" customHeight="1">
      <c r="A441" s="33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2.75" customHeight="1">
      <c r="A442" s="33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2.75" customHeight="1">
      <c r="A443" s="33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2.75" customHeight="1">
      <c r="A444" s="33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2.75" customHeight="1">
      <c r="A445" s="33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2.75" customHeight="1">
      <c r="A446" s="33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2.75" customHeight="1">
      <c r="A447" s="33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2.75" customHeight="1">
      <c r="A448" s="33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2.75" customHeight="1">
      <c r="A449" s="33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2.75" customHeight="1">
      <c r="A450" s="33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2.75" customHeight="1">
      <c r="A451" s="33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2.75" customHeight="1">
      <c r="A452" s="33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2.75" customHeight="1">
      <c r="A453" s="33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2.75" customHeight="1">
      <c r="A454" s="33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2.75" customHeight="1">
      <c r="A455" s="33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2.75" customHeight="1">
      <c r="A456" s="33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2.75" customHeight="1">
      <c r="A457" s="33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2.75" customHeight="1">
      <c r="A458" s="33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2.75" customHeight="1">
      <c r="A459" s="33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2.75" customHeight="1">
      <c r="A460" s="33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2.75" customHeight="1">
      <c r="A461" s="33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2.75" customHeight="1">
      <c r="A462" s="33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2.75" customHeight="1">
      <c r="A463" s="33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2.75" customHeight="1">
      <c r="A464" s="33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2.75" customHeight="1">
      <c r="A465" s="33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2.75" customHeight="1">
      <c r="A466" s="33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2.75" customHeight="1">
      <c r="A467" s="33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2.75" customHeight="1">
      <c r="A468" s="33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2.75" customHeight="1">
      <c r="A469" s="33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2.75" customHeight="1">
      <c r="A470" s="33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2.75" customHeight="1">
      <c r="A471" s="33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2.75" customHeight="1">
      <c r="A472" s="33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2.75" customHeight="1">
      <c r="A473" s="33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2.75" customHeight="1">
      <c r="A474" s="33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2.75" customHeight="1">
      <c r="A475" s="33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2.75" customHeight="1">
      <c r="A476" s="33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2.75" customHeight="1">
      <c r="A477" s="33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2.75" customHeight="1">
      <c r="A478" s="33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2.75" customHeight="1">
      <c r="A479" s="33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2.75" customHeight="1">
      <c r="A480" s="33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2.75" customHeight="1">
      <c r="A481" s="33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2.75" customHeight="1">
      <c r="A482" s="33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2.75" customHeight="1">
      <c r="A483" s="33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2.75" customHeight="1">
      <c r="A484" s="33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2.75" customHeight="1">
      <c r="A485" s="33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2.75" customHeight="1">
      <c r="A486" s="33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2.75" customHeight="1">
      <c r="A487" s="33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2.75" customHeight="1">
      <c r="A488" s="33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2.75" customHeight="1">
      <c r="A489" s="33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2.75" customHeight="1">
      <c r="A490" s="33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2.75" customHeight="1">
      <c r="A491" s="33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2.75" customHeight="1">
      <c r="A492" s="33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2.75" customHeight="1">
      <c r="A493" s="33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2.75" customHeight="1">
      <c r="A494" s="33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2.75" customHeight="1">
      <c r="A495" s="33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2.75" customHeight="1">
      <c r="A496" s="33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2.75" customHeight="1">
      <c r="A497" s="33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2.75" customHeight="1">
      <c r="A498" s="33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2.75" customHeight="1">
      <c r="A499" s="33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2.75" customHeight="1">
      <c r="A500" s="33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2.75" customHeight="1">
      <c r="A501" s="33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2.75" customHeight="1">
      <c r="A502" s="33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2.75" customHeight="1">
      <c r="A503" s="33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2.75" customHeight="1">
      <c r="A504" s="33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2.75" customHeight="1">
      <c r="A505" s="33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2.75" customHeight="1">
      <c r="A506" s="33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2.75" customHeight="1">
      <c r="A507" s="33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2.75" customHeight="1">
      <c r="A508" s="33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2.75" customHeight="1">
      <c r="A509" s="33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2.75" customHeight="1">
      <c r="A510" s="33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2.75" customHeight="1">
      <c r="A511" s="33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2.75" customHeight="1">
      <c r="A512" s="33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2.75" customHeight="1">
      <c r="A513" s="33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2.75" customHeight="1">
      <c r="A514" s="33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2.75" customHeight="1">
      <c r="A515" s="33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2.75" customHeight="1">
      <c r="A516" s="33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2.75" customHeight="1">
      <c r="A517" s="33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2.75" customHeight="1">
      <c r="A518" s="33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2.75" customHeight="1">
      <c r="A519" s="33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2.75" customHeight="1">
      <c r="A520" s="33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2.75" customHeight="1">
      <c r="A521" s="33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2.75" customHeight="1">
      <c r="A522" s="33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2.75" customHeight="1">
      <c r="A523" s="33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2.75" customHeight="1">
      <c r="A524" s="33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2.75" customHeight="1">
      <c r="A525" s="33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2.75" customHeight="1">
      <c r="A526" s="33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2.75" customHeight="1">
      <c r="A527" s="33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2.75" customHeight="1">
      <c r="A528" s="33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2.75" customHeight="1">
      <c r="A529" s="33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2.75" customHeight="1">
      <c r="A530" s="33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2.75" customHeight="1">
      <c r="A531" s="33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2.75" customHeight="1">
      <c r="A532" s="33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2.75" customHeight="1">
      <c r="A533" s="33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2.75" customHeight="1">
      <c r="A534" s="33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2.75" customHeight="1">
      <c r="A535" s="33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2.75" customHeight="1">
      <c r="A536" s="33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2.75" customHeight="1">
      <c r="A537" s="33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2.75" customHeight="1">
      <c r="A538" s="33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2.75" customHeight="1">
      <c r="A539" s="33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2.75" customHeight="1">
      <c r="A540" s="33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2.75" customHeight="1">
      <c r="A541" s="33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2.75" customHeight="1">
      <c r="A542" s="33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2.75" customHeight="1">
      <c r="A543" s="33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2.75" customHeight="1">
      <c r="A544" s="33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2.75" customHeight="1">
      <c r="A545" s="33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2.75" customHeight="1">
      <c r="A546" s="33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2.75" customHeight="1">
      <c r="A547" s="33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2.75" customHeight="1">
      <c r="A548" s="33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2.75" customHeight="1">
      <c r="A549" s="33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2.75" customHeight="1">
      <c r="A550" s="33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2.75" customHeight="1">
      <c r="A551" s="33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2.75" customHeight="1">
      <c r="A552" s="33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2.75" customHeight="1">
      <c r="A553" s="33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2.75" customHeight="1">
      <c r="A554" s="33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2.75" customHeight="1">
      <c r="A555" s="33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2.75" customHeight="1">
      <c r="A556" s="33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2.75" customHeight="1">
      <c r="A557" s="33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2.75" customHeight="1">
      <c r="A558" s="33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2.75" customHeight="1">
      <c r="A559" s="33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2.75" customHeight="1">
      <c r="A560" s="33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2.75" customHeight="1">
      <c r="A561" s="33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2.75" customHeight="1">
      <c r="A562" s="33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2.75" customHeight="1">
      <c r="A563" s="33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2.75" customHeight="1">
      <c r="A564" s="33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2.75" customHeight="1">
      <c r="A565" s="33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2.75" customHeight="1">
      <c r="A566" s="33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2.75" customHeight="1">
      <c r="A567" s="33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2.75" customHeight="1">
      <c r="A568" s="33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2.75" customHeight="1">
      <c r="A569" s="33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2.75" customHeight="1">
      <c r="A570" s="33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2.75" customHeight="1">
      <c r="A571" s="33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2.75" customHeight="1">
      <c r="A572" s="33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2.75" customHeight="1">
      <c r="A573" s="33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2.75" customHeight="1">
      <c r="A574" s="33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2.75" customHeight="1">
      <c r="A575" s="33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2.75" customHeight="1">
      <c r="A576" s="33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2.75" customHeight="1">
      <c r="A577" s="33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2.75" customHeight="1">
      <c r="A578" s="33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2.75" customHeight="1">
      <c r="A579" s="33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2.75" customHeight="1">
      <c r="A580" s="33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2.75" customHeight="1">
      <c r="A581" s="33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2.75" customHeight="1">
      <c r="A582" s="33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2.75" customHeight="1">
      <c r="A583" s="33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2.75" customHeight="1">
      <c r="A584" s="33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2.75" customHeight="1">
      <c r="A585" s="33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2.75" customHeight="1">
      <c r="A586" s="33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2.75" customHeight="1">
      <c r="A587" s="33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2.75" customHeight="1">
      <c r="A588" s="33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2.75" customHeight="1">
      <c r="A589" s="33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2.75" customHeight="1">
      <c r="A590" s="33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2.75" customHeight="1">
      <c r="A591" s="33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2.75" customHeight="1">
      <c r="A592" s="33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2.75" customHeight="1">
      <c r="A593" s="33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2.75" customHeight="1">
      <c r="A594" s="33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2.75" customHeight="1">
      <c r="A595" s="33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2.75" customHeight="1">
      <c r="A596" s="33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2.75" customHeight="1">
      <c r="A597" s="33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2.75" customHeight="1">
      <c r="A598" s="33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2.75" customHeight="1">
      <c r="A599" s="33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2.75" customHeight="1">
      <c r="A600" s="33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2.75" customHeight="1">
      <c r="A601" s="33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2.75" customHeight="1">
      <c r="A602" s="33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2.75" customHeight="1">
      <c r="A603" s="33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2.75" customHeight="1">
      <c r="A604" s="33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2.75" customHeight="1">
      <c r="A605" s="33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2.75" customHeight="1">
      <c r="A606" s="33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2.75" customHeight="1">
      <c r="A607" s="33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2.75" customHeight="1">
      <c r="A608" s="33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2.75" customHeight="1">
      <c r="A609" s="33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2.75" customHeight="1">
      <c r="A610" s="33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2.75" customHeight="1">
      <c r="A611" s="33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2.75" customHeight="1">
      <c r="A612" s="33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2.75" customHeight="1">
      <c r="A613" s="33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2.75" customHeight="1">
      <c r="A614" s="33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2.75" customHeight="1">
      <c r="A615" s="33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2.75" customHeight="1">
      <c r="A616" s="33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2.75" customHeight="1">
      <c r="A617" s="33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2.75" customHeight="1">
      <c r="A618" s="33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2.75" customHeight="1">
      <c r="A619" s="33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2.75" customHeight="1">
      <c r="A620" s="33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2.75" customHeight="1">
      <c r="A621" s="33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2.75" customHeight="1">
      <c r="A622" s="33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2.75" customHeight="1">
      <c r="A623" s="33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2.75" customHeight="1">
      <c r="A624" s="33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2.75" customHeight="1">
      <c r="A625" s="33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2.75" customHeight="1">
      <c r="A626" s="33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2.75" customHeight="1">
      <c r="A627" s="33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2.75" customHeight="1">
      <c r="A628" s="33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2.75" customHeight="1">
      <c r="A629" s="33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2.75" customHeight="1">
      <c r="A630" s="33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2.75" customHeight="1">
      <c r="A631" s="33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2.75" customHeight="1">
      <c r="A632" s="33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2.75" customHeight="1">
      <c r="A633" s="33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2.75" customHeight="1">
      <c r="A634" s="33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2.75" customHeight="1">
      <c r="A635" s="33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2.75" customHeight="1">
      <c r="A636" s="33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2.75" customHeight="1">
      <c r="A637" s="33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2.75" customHeight="1">
      <c r="A638" s="33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2.75" customHeight="1">
      <c r="A639" s="33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2.75" customHeight="1">
      <c r="A640" s="33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2.75" customHeight="1">
      <c r="A641" s="33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2.75" customHeight="1">
      <c r="A642" s="33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2.75" customHeight="1">
      <c r="A643" s="33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2.75" customHeight="1">
      <c r="A644" s="33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2.75" customHeight="1">
      <c r="A645" s="33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2.75" customHeight="1">
      <c r="A646" s="33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2.75" customHeight="1">
      <c r="A647" s="33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2.75" customHeight="1">
      <c r="A648" s="33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2.75" customHeight="1">
      <c r="A649" s="33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2.75" customHeight="1">
      <c r="A650" s="33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2.75" customHeight="1">
      <c r="A651" s="33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2.75" customHeight="1">
      <c r="A652" s="33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2.75" customHeight="1">
      <c r="A653" s="33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2.75" customHeight="1">
      <c r="A654" s="33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2.75" customHeight="1">
      <c r="A655" s="33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2.75" customHeight="1">
      <c r="A656" s="33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2.75" customHeight="1">
      <c r="A657" s="33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2.75" customHeight="1">
      <c r="A658" s="33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2.75" customHeight="1">
      <c r="A659" s="33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2.75" customHeight="1">
      <c r="A660" s="33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2.75" customHeight="1">
      <c r="A661" s="33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2.75" customHeight="1">
      <c r="A662" s="33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2.75" customHeight="1">
      <c r="A663" s="33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2.75" customHeight="1">
      <c r="A664" s="33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2.75" customHeight="1">
      <c r="A665" s="33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2.75" customHeight="1">
      <c r="A666" s="33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2.75" customHeight="1">
      <c r="A667" s="33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2.75" customHeight="1">
      <c r="A668" s="33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2.75" customHeight="1">
      <c r="A669" s="33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2.75" customHeight="1">
      <c r="A670" s="33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2.75" customHeight="1">
      <c r="A671" s="33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2.75" customHeight="1">
      <c r="A672" s="33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2.75" customHeight="1">
      <c r="A673" s="33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2.75" customHeight="1">
      <c r="A674" s="33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2.75" customHeight="1">
      <c r="A675" s="33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2.75" customHeight="1">
      <c r="A676" s="33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2.75" customHeight="1">
      <c r="A677" s="33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2.75" customHeight="1">
      <c r="A678" s="33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2.75" customHeight="1">
      <c r="A679" s="33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2.75" customHeight="1">
      <c r="A680" s="33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2.75" customHeight="1">
      <c r="A681" s="33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2.75" customHeight="1">
      <c r="A682" s="33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2.75" customHeight="1">
      <c r="A683" s="33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2.75" customHeight="1">
      <c r="A684" s="33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2.75" customHeight="1">
      <c r="A685" s="33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2.75" customHeight="1">
      <c r="A686" s="33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2.75" customHeight="1">
      <c r="A687" s="33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2.75" customHeight="1">
      <c r="A688" s="33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2.75" customHeight="1">
      <c r="A689" s="33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2.75" customHeight="1">
      <c r="A690" s="33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2.75" customHeight="1">
      <c r="A691" s="33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2.75" customHeight="1">
      <c r="A692" s="33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2.75" customHeight="1">
      <c r="A693" s="33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2.75" customHeight="1">
      <c r="A694" s="33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2.75" customHeight="1">
      <c r="A695" s="33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2.75" customHeight="1">
      <c r="A696" s="33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2.75" customHeight="1">
      <c r="A697" s="33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2.75" customHeight="1">
      <c r="A698" s="33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2.75" customHeight="1">
      <c r="A699" s="33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2.75" customHeight="1">
      <c r="A700" s="33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2.75" customHeight="1">
      <c r="A701" s="33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2.75" customHeight="1">
      <c r="A702" s="33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2.75" customHeight="1">
      <c r="A703" s="33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2.75" customHeight="1">
      <c r="A704" s="33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2.75" customHeight="1">
      <c r="A705" s="33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2.75" customHeight="1">
      <c r="A706" s="33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2.75" customHeight="1">
      <c r="A707" s="33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2.75" customHeight="1">
      <c r="A708" s="33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2.75" customHeight="1">
      <c r="A709" s="33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2.75" customHeight="1">
      <c r="A710" s="33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2.75" customHeight="1">
      <c r="A711" s="33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2.75" customHeight="1">
      <c r="A712" s="33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2.75" customHeight="1">
      <c r="A713" s="33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2.75" customHeight="1">
      <c r="A714" s="33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2.75" customHeight="1">
      <c r="A715" s="33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2.75" customHeight="1">
      <c r="A716" s="33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2.75" customHeight="1">
      <c r="A717" s="33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2.75" customHeight="1">
      <c r="A718" s="33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2.75" customHeight="1">
      <c r="A719" s="33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2.75" customHeight="1">
      <c r="A720" s="33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2.75" customHeight="1">
      <c r="A721" s="33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2.75" customHeight="1">
      <c r="A722" s="33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2.75" customHeight="1">
      <c r="A723" s="33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2.75" customHeight="1">
      <c r="A724" s="33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2.75" customHeight="1">
      <c r="A725" s="33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2.75" customHeight="1">
      <c r="A726" s="33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2.75" customHeight="1">
      <c r="A727" s="33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2.75" customHeight="1">
      <c r="A728" s="33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2.75" customHeight="1">
      <c r="A729" s="33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2.75" customHeight="1">
      <c r="A730" s="33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2.75" customHeight="1">
      <c r="A731" s="33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2.75" customHeight="1">
      <c r="A732" s="33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2.75" customHeight="1">
      <c r="A733" s="33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2.75" customHeight="1">
      <c r="A734" s="33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2.75" customHeight="1">
      <c r="A735" s="33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2.75" customHeight="1">
      <c r="A736" s="33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2.75" customHeight="1">
      <c r="A737" s="33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2.75" customHeight="1">
      <c r="A738" s="33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2.75" customHeight="1">
      <c r="A739" s="33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2.75" customHeight="1">
      <c r="A740" s="33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2.75" customHeight="1">
      <c r="A741" s="33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2.75" customHeight="1">
      <c r="A742" s="33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2.75" customHeight="1">
      <c r="A743" s="33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2.75" customHeight="1">
      <c r="A744" s="33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2.75" customHeight="1">
      <c r="A745" s="33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2.75" customHeight="1">
      <c r="A746" s="33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2.75" customHeight="1">
      <c r="A747" s="33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2.75" customHeight="1">
      <c r="A748" s="33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2.75" customHeight="1">
      <c r="A749" s="33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2.75" customHeight="1">
      <c r="A750" s="33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2.75" customHeight="1">
      <c r="A751" s="33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2.75" customHeight="1">
      <c r="A752" s="33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2.75" customHeight="1">
      <c r="A753" s="33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2.75" customHeight="1">
      <c r="A754" s="33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2.75" customHeight="1">
      <c r="A755" s="33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2.75" customHeight="1">
      <c r="A756" s="33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2.75" customHeight="1">
      <c r="A757" s="33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2.75" customHeight="1">
      <c r="A758" s="33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2.75" customHeight="1">
      <c r="A759" s="33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2.75" customHeight="1">
      <c r="A760" s="33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2.75" customHeight="1">
      <c r="A761" s="33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2.75" customHeight="1">
      <c r="A762" s="33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2.75" customHeight="1">
      <c r="A763" s="33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2.75" customHeight="1">
      <c r="A764" s="33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2.75" customHeight="1">
      <c r="A765" s="33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2.75" customHeight="1">
      <c r="A766" s="33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2.75" customHeight="1">
      <c r="A767" s="33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2.75" customHeight="1">
      <c r="A768" s="33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2.75" customHeight="1">
      <c r="A769" s="33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2.75" customHeight="1">
      <c r="A770" s="33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2.75" customHeight="1">
      <c r="A771" s="33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2.75" customHeight="1">
      <c r="A772" s="33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2.75" customHeight="1">
      <c r="A773" s="33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2.75" customHeight="1">
      <c r="A774" s="33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2.75" customHeight="1">
      <c r="A775" s="33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2.75" customHeight="1">
      <c r="A776" s="33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2.75" customHeight="1">
      <c r="A777" s="33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2.75" customHeight="1">
      <c r="A778" s="33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2.75" customHeight="1">
      <c r="A779" s="33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2.75" customHeight="1">
      <c r="A780" s="33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2.75" customHeight="1">
      <c r="A781" s="33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2.75" customHeight="1">
      <c r="A782" s="33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2.75" customHeight="1">
      <c r="A783" s="33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2.75" customHeight="1">
      <c r="A784" s="33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2.75" customHeight="1">
      <c r="A785" s="33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2.75" customHeight="1">
      <c r="A786" s="33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2.75" customHeight="1">
      <c r="A787" s="33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2.75" customHeight="1">
      <c r="A788" s="33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2.75" customHeight="1">
      <c r="A789" s="33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2.75" customHeight="1">
      <c r="A790" s="33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2.75" customHeight="1">
      <c r="A791" s="33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2.75" customHeight="1">
      <c r="A792" s="33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2.75" customHeight="1">
      <c r="A793" s="33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2.75" customHeight="1">
      <c r="A794" s="33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2.75" customHeight="1">
      <c r="A795" s="33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2.75" customHeight="1">
      <c r="A796" s="33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2.75" customHeight="1">
      <c r="A797" s="33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2.75" customHeight="1">
      <c r="A798" s="33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2.75" customHeight="1">
      <c r="A799" s="33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2.75" customHeight="1">
      <c r="A800" s="33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2.75" customHeight="1">
      <c r="A801" s="33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2.75" customHeight="1">
      <c r="A802" s="33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2.75" customHeight="1">
      <c r="A803" s="33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2.75" customHeight="1">
      <c r="A804" s="33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2.75" customHeight="1">
      <c r="A805" s="33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2.75" customHeight="1">
      <c r="A806" s="33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2.75" customHeight="1">
      <c r="A807" s="33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2.75" customHeight="1">
      <c r="A808" s="33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2.75" customHeight="1">
      <c r="A809" s="33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2.75" customHeight="1">
      <c r="A810" s="33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2.75" customHeight="1">
      <c r="A811" s="33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2.75" customHeight="1">
      <c r="A812" s="33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2.75" customHeight="1">
      <c r="A813" s="33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2.75" customHeight="1">
      <c r="A814" s="33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2.75" customHeight="1">
      <c r="A815" s="33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2.75" customHeight="1">
      <c r="A816" s="33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2.75" customHeight="1">
      <c r="A817" s="33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2.75" customHeight="1">
      <c r="A818" s="33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2.75" customHeight="1">
      <c r="A819" s="33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2.75" customHeight="1">
      <c r="A820" s="33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2.75" customHeight="1">
      <c r="A821" s="33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2.75" customHeight="1">
      <c r="A822" s="33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2.75" customHeight="1">
      <c r="A823" s="33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2.75" customHeight="1">
      <c r="A824" s="33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2.75" customHeight="1">
      <c r="A825" s="33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2.75" customHeight="1">
      <c r="A826" s="33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2.75" customHeight="1">
      <c r="A827" s="33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2.75" customHeight="1">
      <c r="A828" s="33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2.75" customHeight="1">
      <c r="A829" s="33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2.75" customHeight="1">
      <c r="A830" s="33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2.75" customHeight="1">
      <c r="A831" s="33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2.75" customHeight="1">
      <c r="A832" s="33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2.75" customHeight="1">
      <c r="A833" s="33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2.75" customHeight="1">
      <c r="A834" s="33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2.75" customHeight="1">
      <c r="A835" s="33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2.75" customHeight="1">
      <c r="A836" s="33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2.75" customHeight="1">
      <c r="A837" s="33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2.75" customHeight="1">
      <c r="A838" s="33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2.75" customHeight="1">
      <c r="A839" s="33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2.75" customHeight="1">
      <c r="A840" s="33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2.75" customHeight="1">
      <c r="A841" s="33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2.75" customHeight="1">
      <c r="A842" s="33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2.75" customHeight="1">
      <c r="A843" s="33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2.75" customHeight="1">
      <c r="A844" s="33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2.75" customHeight="1">
      <c r="A845" s="33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2.75" customHeight="1">
      <c r="A846" s="33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2.75" customHeight="1">
      <c r="A847" s="33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2.75" customHeight="1">
      <c r="A848" s="33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2.75" customHeight="1">
      <c r="A849" s="33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2.75" customHeight="1">
      <c r="A850" s="33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2.75" customHeight="1">
      <c r="A851" s="33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2.75" customHeight="1">
      <c r="A852" s="33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2.75" customHeight="1">
      <c r="A853" s="33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2.75" customHeight="1">
      <c r="A854" s="33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2.75" customHeight="1">
      <c r="A855" s="33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2.75" customHeight="1">
      <c r="A856" s="33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2.75" customHeight="1">
      <c r="A857" s="33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2.75" customHeight="1">
      <c r="A858" s="33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2.75" customHeight="1">
      <c r="A859" s="33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2.75" customHeight="1">
      <c r="A860" s="33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2.75" customHeight="1">
      <c r="A861" s="33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2.75" customHeight="1">
      <c r="A862" s="33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2.75" customHeight="1">
      <c r="A863" s="33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2.75" customHeight="1">
      <c r="A864" s="33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2.75" customHeight="1">
      <c r="A865" s="33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2.75" customHeight="1">
      <c r="A866" s="33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2.75" customHeight="1">
      <c r="A867" s="33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2.75" customHeight="1">
      <c r="A868" s="33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2.75" customHeight="1">
      <c r="A869" s="33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2.75" customHeight="1">
      <c r="A870" s="33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2.75" customHeight="1">
      <c r="A871" s="33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2.75" customHeight="1">
      <c r="A872" s="33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2.75" customHeight="1">
      <c r="A873" s="33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2.75" customHeight="1">
      <c r="A874" s="33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2.75" customHeight="1">
      <c r="A875" s="33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2.75" customHeight="1">
      <c r="A876" s="33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2.75" customHeight="1">
      <c r="A877" s="33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2.75" customHeight="1">
      <c r="A878" s="33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2.75" customHeight="1">
      <c r="A879" s="33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2.75" customHeight="1">
      <c r="A880" s="33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2.75" customHeight="1">
      <c r="A881" s="33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2.75" customHeight="1">
      <c r="A882" s="33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2.75" customHeight="1">
      <c r="A883" s="33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2.75" customHeight="1">
      <c r="A884" s="33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2.75" customHeight="1">
      <c r="A885" s="33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2.75" customHeight="1">
      <c r="A886" s="33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2.75" customHeight="1">
      <c r="A887" s="33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2.75" customHeight="1">
      <c r="A888" s="33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2.75" customHeight="1">
      <c r="A889" s="33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2.75" customHeight="1">
      <c r="A890" s="33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2.75" customHeight="1">
      <c r="A891" s="33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2.75" customHeight="1">
      <c r="A892" s="33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2.75" customHeight="1">
      <c r="A893" s="33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2.75" customHeight="1">
      <c r="A894" s="33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2.75" customHeight="1">
      <c r="A895" s="33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2.75" customHeight="1">
      <c r="A896" s="33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2.75" customHeight="1">
      <c r="A897" s="33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2.75" customHeight="1">
      <c r="A898" s="33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2.75" customHeight="1">
      <c r="A899" s="33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2.75" customHeight="1">
      <c r="A900" s="33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2.75" customHeight="1">
      <c r="A901" s="33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2.75" customHeight="1">
      <c r="A902" s="33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2.75" customHeight="1">
      <c r="A903" s="33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2.75" customHeight="1">
      <c r="A904" s="33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2.75" customHeight="1">
      <c r="A905" s="33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2.75" customHeight="1">
      <c r="A906" s="33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2.75" customHeight="1">
      <c r="A907" s="33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2.75" customHeight="1">
      <c r="A908" s="33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2.75" customHeight="1">
      <c r="A909" s="33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2.75" customHeight="1">
      <c r="A910" s="33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2.75" customHeight="1">
      <c r="A911" s="33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2.75" customHeight="1">
      <c r="A912" s="33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2.75" customHeight="1">
      <c r="A913" s="33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2.75" customHeight="1">
      <c r="A914" s="33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2.75" customHeight="1">
      <c r="A915" s="33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2.75" customHeight="1">
      <c r="A916" s="33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2.75" customHeight="1">
      <c r="A917" s="33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2.75" customHeight="1">
      <c r="A918" s="33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2.75" customHeight="1">
      <c r="A919" s="33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2.75" customHeight="1">
      <c r="A920" s="33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2.75" customHeight="1">
      <c r="A921" s="33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2.75" customHeight="1">
      <c r="A922" s="33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2.75" customHeight="1">
      <c r="A923" s="33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2.75" customHeight="1">
      <c r="A924" s="33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2.75" customHeight="1">
      <c r="A925" s="33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2.75" customHeight="1">
      <c r="A926" s="33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2.75" customHeight="1">
      <c r="A927" s="33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2.75" customHeight="1">
      <c r="A928" s="33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2.75" customHeight="1">
      <c r="A929" s="33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2.75" customHeight="1">
      <c r="A930" s="33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2.75" customHeight="1">
      <c r="A931" s="33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2.75" customHeight="1">
      <c r="A932" s="33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2.75" customHeight="1">
      <c r="A933" s="33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2.75" customHeight="1">
      <c r="A934" s="33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2.75" customHeight="1">
      <c r="A935" s="33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2.75" customHeight="1">
      <c r="A936" s="33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2.75" customHeight="1">
      <c r="A937" s="33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2.75" customHeight="1">
      <c r="A938" s="33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2.75" customHeight="1">
      <c r="A939" s="33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2.75" customHeight="1">
      <c r="A940" s="33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2.75" customHeight="1">
      <c r="A941" s="33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2.75" customHeight="1">
      <c r="A942" s="33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2.75" customHeight="1">
      <c r="A943" s="33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2.75" customHeight="1">
      <c r="A944" s="33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2.75" customHeight="1">
      <c r="A945" s="33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2.75" customHeight="1">
      <c r="A946" s="33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2.75" customHeight="1">
      <c r="A947" s="33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2.75" customHeight="1">
      <c r="A948" s="33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2.75" customHeight="1">
      <c r="A949" s="33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2.75" customHeight="1">
      <c r="A950" s="33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2.75" customHeight="1">
      <c r="A951" s="33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2.75" customHeight="1">
      <c r="A952" s="33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2.75" customHeight="1">
      <c r="A953" s="33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2.75" customHeight="1">
      <c r="A954" s="33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2.75" customHeight="1">
      <c r="A955" s="33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2.75" customHeight="1">
      <c r="A956" s="33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2.75" customHeight="1">
      <c r="A957" s="33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2.75" customHeight="1">
      <c r="A958" s="33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2.75" customHeight="1">
      <c r="A959" s="33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2.75" customHeight="1">
      <c r="A960" s="33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2.75" customHeight="1">
      <c r="A961" s="33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2.75" customHeight="1">
      <c r="A962" s="33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2.75" customHeight="1">
      <c r="A963" s="33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2.75" customHeight="1">
      <c r="A964" s="33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2.75" customHeight="1">
      <c r="A965" s="33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2.75" customHeight="1">
      <c r="A966" s="33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2.75" customHeight="1">
      <c r="A967" s="33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2.75" customHeight="1">
      <c r="A968" s="33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2.75" customHeight="1">
      <c r="A969" s="33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2.75" customHeight="1">
      <c r="A970" s="33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2.75" customHeight="1">
      <c r="A971" s="33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2.75" customHeight="1">
      <c r="A972" s="33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2.75" customHeight="1">
      <c r="A973" s="33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2.75" customHeight="1">
      <c r="A974" s="33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2.75" customHeight="1">
      <c r="A975" s="33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2.75" customHeight="1">
      <c r="A976" s="33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2.75" customHeight="1">
      <c r="A977" s="33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2.75" customHeight="1">
      <c r="A978" s="33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2.75" customHeight="1">
      <c r="A979" s="33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2.75" customHeight="1">
      <c r="A980" s="33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2.75" customHeight="1">
      <c r="A981" s="33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2.75" customHeight="1">
      <c r="A982" s="33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2.75" customHeight="1">
      <c r="A983" s="33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2.75" customHeight="1">
      <c r="A984" s="33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2.75" customHeight="1">
      <c r="A985" s="33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2.75" customHeight="1">
      <c r="A986" s="33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2.75" customHeight="1">
      <c r="A987" s="33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2.75" customHeight="1">
      <c r="A988" s="33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2.75" customHeight="1">
      <c r="A989" s="33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2.75" customHeight="1">
      <c r="A990" s="33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2.75" customHeight="1">
      <c r="A991" s="33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2.75" customHeight="1">
      <c r="A992" s="33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2.75" customHeight="1">
      <c r="A993" s="33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2.75" customHeight="1">
      <c r="A994" s="33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2.75" customHeight="1">
      <c r="A995" s="33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2.75" customHeight="1">
      <c r="A996" s="33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2.75" customHeight="1">
      <c r="A997" s="33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2.75" customHeight="1">
      <c r="A998" s="33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2.75" customHeight="1">
      <c r="A999" s="33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2.75" customHeight="1">
      <c r="A1000" s="33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">
    <mergeCell ref="A1:B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CC00"/>
  </sheetPr>
  <dimension ref="A1:Z1000"/>
  <sheetViews>
    <sheetView workbookViewId="0">
      <pane ySplit="2" topLeftCell="A3" activePane="bottomLeft" state="frozen"/>
      <selection pane="bottomLeft" sqref="A1:H1"/>
    </sheetView>
  </sheetViews>
  <sheetFormatPr defaultColWidth="12.5703125" defaultRowHeight="15" customHeight="1"/>
  <cols>
    <col min="1" max="1" width="5.7109375" customWidth="1"/>
    <col min="2" max="2" width="10.28515625" customWidth="1"/>
    <col min="3" max="3" width="12" customWidth="1"/>
    <col min="4" max="8" width="20.7109375" customWidth="1"/>
    <col min="9" max="15" width="11.42578125" customWidth="1"/>
    <col min="16" max="26" width="10" customWidth="1"/>
  </cols>
  <sheetData>
    <row r="1" spans="1:26" ht="18" customHeight="1">
      <c r="A1" s="113" t="s">
        <v>67</v>
      </c>
      <c r="B1" s="93"/>
      <c r="C1" s="93"/>
      <c r="D1" s="93"/>
      <c r="E1" s="93"/>
      <c r="F1" s="93"/>
      <c r="G1" s="93"/>
      <c r="H1" s="94"/>
      <c r="I1" s="12" t="s">
        <v>53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8" customHeight="1">
      <c r="A2" s="114" t="s">
        <v>68</v>
      </c>
      <c r="B2" s="96"/>
      <c r="C2" s="96"/>
      <c r="D2" s="96"/>
      <c r="E2" s="96"/>
      <c r="F2" s="96"/>
      <c r="G2" s="96"/>
      <c r="H2" s="97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5.25" customHeight="1">
      <c r="A3" s="115"/>
      <c r="B3" s="106"/>
      <c r="C3" s="106"/>
      <c r="D3" s="106"/>
      <c r="E3" s="106"/>
      <c r="F3" s="106"/>
      <c r="G3" s="106"/>
      <c r="H3" s="106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2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2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27" customHeight="1">
      <c r="A7" s="116" t="s">
        <v>69</v>
      </c>
      <c r="B7" s="35" t="s">
        <v>70</v>
      </c>
      <c r="C7" s="36">
        <v>0.9</v>
      </c>
      <c r="D7" s="37">
        <f>+C7*D12</f>
        <v>4.5000000000000005E-2</v>
      </c>
      <c r="E7" s="38">
        <f>+C7*E12</f>
        <v>9.0000000000000011E-2</v>
      </c>
      <c r="F7" s="39">
        <f>+C7*F12</f>
        <v>0.18000000000000002</v>
      </c>
      <c r="G7" s="39">
        <f>+C7*G12</f>
        <v>0.36000000000000004</v>
      </c>
      <c r="H7" s="40">
        <f>+C7*H12</f>
        <v>0.72000000000000008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27" customHeight="1">
      <c r="A8" s="117"/>
      <c r="B8" s="41" t="s">
        <v>71</v>
      </c>
      <c r="C8" s="42">
        <v>0.7</v>
      </c>
      <c r="D8" s="43">
        <f>+C8*D12</f>
        <v>3.4999999999999996E-2</v>
      </c>
      <c r="E8" s="44">
        <f>+C8*E12</f>
        <v>6.9999999999999993E-2</v>
      </c>
      <c r="F8" s="44">
        <f>+C8*F12</f>
        <v>0.13999999999999999</v>
      </c>
      <c r="G8" s="45">
        <f>+C8*G12</f>
        <v>0.27999999999999997</v>
      </c>
      <c r="H8" s="46">
        <f>+C8*H12</f>
        <v>0.55999999999999994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27" customHeight="1">
      <c r="A9" s="117"/>
      <c r="B9" s="41" t="s">
        <v>30</v>
      </c>
      <c r="C9" s="42">
        <v>0.5</v>
      </c>
      <c r="D9" s="43">
        <f>+C9*D12</f>
        <v>2.5000000000000001E-2</v>
      </c>
      <c r="E9" s="47">
        <f>+C9*E12</f>
        <v>0.05</v>
      </c>
      <c r="F9" s="44">
        <f>+C9*F12</f>
        <v>0.1</v>
      </c>
      <c r="G9" s="45">
        <f>+C9*G12</f>
        <v>0.2</v>
      </c>
      <c r="H9" s="46">
        <f>+C9*H12</f>
        <v>0.4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27" customHeight="1">
      <c r="A10" s="117"/>
      <c r="B10" s="41" t="s">
        <v>72</v>
      </c>
      <c r="C10" s="42">
        <v>0.3</v>
      </c>
      <c r="D10" s="43">
        <f>+C10*D12</f>
        <v>1.4999999999999999E-2</v>
      </c>
      <c r="E10" s="47">
        <f>+C10*E12</f>
        <v>0.03</v>
      </c>
      <c r="F10" s="44">
        <f>+C10*F12</f>
        <v>0.06</v>
      </c>
      <c r="G10" s="44">
        <f>+C10*G12</f>
        <v>0.12</v>
      </c>
      <c r="H10" s="46">
        <f>+C10*H12</f>
        <v>0.24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27" customHeight="1">
      <c r="A11" s="118"/>
      <c r="B11" s="41" t="s">
        <v>73</v>
      </c>
      <c r="C11" s="42">
        <v>0.1</v>
      </c>
      <c r="D11" s="48">
        <f>+C11*D12</f>
        <v>5.000000000000001E-3</v>
      </c>
      <c r="E11" s="49">
        <f>+C11*E12</f>
        <v>1.0000000000000002E-2</v>
      </c>
      <c r="F11" s="49">
        <f>+C11*F12</f>
        <v>2.0000000000000004E-2</v>
      </c>
      <c r="G11" s="49">
        <f>+C11*G12</f>
        <v>4.0000000000000008E-2</v>
      </c>
      <c r="H11" s="50">
        <f>+C11*H12</f>
        <v>8.0000000000000016E-2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24.75" customHeight="1">
      <c r="A12" s="119" t="s">
        <v>74</v>
      </c>
      <c r="B12" s="106"/>
      <c r="C12" s="103"/>
      <c r="D12" s="51">
        <v>0.05</v>
      </c>
      <c r="E12" s="51">
        <v>0.1</v>
      </c>
      <c r="F12" s="51">
        <v>0.2</v>
      </c>
      <c r="G12" s="51">
        <v>0.4</v>
      </c>
      <c r="H12" s="52">
        <v>0.8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24.75" customHeight="1">
      <c r="A13" s="120"/>
      <c r="B13" s="121"/>
      <c r="C13" s="104"/>
      <c r="D13" s="41" t="s">
        <v>75</v>
      </c>
      <c r="E13" s="53" t="s">
        <v>29</v>
      </c>
      <c r="F13" s="53" t="s">
        <v>31</v>
      </c>
      <c r="G13" s="53" t="s">
        <v>33</v>
      </c>
      <c r="H13" s="54" t="s">
        <v>76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29.25" customHeight="1">
      <c r="A14" s="122" t="s">
        <v>77</v>
      </c>
      <c r="B14" s="123"/>
      <c r="C14" s="123"/>
      <c r="D14" s="123"/>
      <c r="E14" s="124"/>
      <c r="F14" s="55" t="s">
        <v>78</v>
      </c>
      <c r="G14" s="56" t="s">
        <v>79</v>
      </c>
      <c r="H14" s="57" t="s">
        <v>71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2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2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2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58"/>
      <c r="L17" s="34"/>
      <c r="M17" s="58"/>
      <c r="N17" s="34"/>
      <c r="O17" s="58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2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58"/>
      <c r="L18" s="34"/>
      <c r="M18" s="58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2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2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2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2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2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2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2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2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2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2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2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2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2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2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2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2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2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2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2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2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2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2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2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2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2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2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2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2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2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2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2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2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2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2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2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2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2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2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2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2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2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2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2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2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2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2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2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2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2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2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2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2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2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2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2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2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2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2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2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2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2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2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2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2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2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2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2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2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2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2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2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2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2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2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2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2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2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2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2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2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2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2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2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2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2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2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2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2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2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2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2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2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2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2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2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2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2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2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2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2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2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2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2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2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2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2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2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2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2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2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2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2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2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2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2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2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2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2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2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2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2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2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2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2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2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2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2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2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2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2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2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2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2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2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2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2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2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2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2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2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2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2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2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2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2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2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2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2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2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2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2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2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2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2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2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2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2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2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2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2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2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2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2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2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2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2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2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2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2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2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2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2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2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2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2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2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2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2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2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2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2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2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2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2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2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2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2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2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2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2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2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2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2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2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2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2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2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2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2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2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2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2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2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2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2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2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2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2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2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2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2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2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2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2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2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2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2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2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2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2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2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2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2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2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2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2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2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2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2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2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2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2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2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2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2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2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2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2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2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2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2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2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2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2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2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2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2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2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2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2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2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2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2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2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2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2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2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2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2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2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2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2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2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2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2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2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2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2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2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2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2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2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2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2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2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2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2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2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2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2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2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2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2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2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2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2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2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2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2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2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2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2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2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2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2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2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2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2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2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2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2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2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2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2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2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2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2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2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2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2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2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2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2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2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2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2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2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2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2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2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2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2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2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2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2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2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2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2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2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2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2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2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2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2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2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2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2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2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2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2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2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2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2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2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2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2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2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2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2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2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2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2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2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2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2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2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2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2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2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2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2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2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2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2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2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2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2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2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2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2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2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2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2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2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2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2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2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2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2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2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2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2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2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2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2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2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2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2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2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2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2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2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2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2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2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2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2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2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2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2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2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2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2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2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2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2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2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2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2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2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2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2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2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2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2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2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2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2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2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2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2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2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2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2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2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2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2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2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2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2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2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2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2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2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2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2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2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2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2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2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2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2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2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2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2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2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2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2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2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2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2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2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2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2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2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2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2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2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2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2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2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2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2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2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2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2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2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2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2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2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2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2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2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2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2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2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2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2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2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2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2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2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2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2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2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2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2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2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2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2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2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2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2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2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2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2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2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2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2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2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2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2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2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2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2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2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2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2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2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2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2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2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2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2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2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2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2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2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2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2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2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2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2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2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2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2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2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2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2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2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2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2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2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2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2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2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2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2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2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2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2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2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2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2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2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2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2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2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2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2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2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2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2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2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2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2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2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2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2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2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2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2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2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2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2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2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2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2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2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2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2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2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2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2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2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2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2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2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2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2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2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2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2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2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2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2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2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2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2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2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2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2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2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2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2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2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2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2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2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2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2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2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2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2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2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2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2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2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2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2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2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2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2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2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2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2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2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2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2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2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2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2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2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2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2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2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2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2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2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2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2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2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2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2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2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2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2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2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2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2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2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2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2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2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2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2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2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2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2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2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2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2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2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2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2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2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2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2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2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2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2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2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2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2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2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2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2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2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2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2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2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2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2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2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2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2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2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2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2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2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2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2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2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2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2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2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2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2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2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2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2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2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2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2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2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2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2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2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2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2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2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2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2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2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2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2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2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2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2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2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2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2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2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2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2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2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2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2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2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2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2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2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2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2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2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2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2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2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2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2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2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2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2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2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2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2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2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2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2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2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2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2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2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2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2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2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2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2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2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2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2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2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2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2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2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2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2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2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2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2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2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2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2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2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2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2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2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2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2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2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2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2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2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2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2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2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2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2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2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2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2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2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2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2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2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2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2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2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2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2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2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2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2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2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2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2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2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2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2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2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2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2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2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2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2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2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2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2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2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2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2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2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2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2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2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2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2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2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2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2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2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2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2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2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2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2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2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2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2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2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2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2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2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2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2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2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2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2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2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2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2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2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2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2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2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2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2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2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2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2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2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2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2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2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2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2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2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2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2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2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2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2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2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2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2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2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2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2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2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2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2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2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2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2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2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2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2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2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2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2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2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2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2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2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2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2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2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2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2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2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2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2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2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2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2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2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2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2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2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2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2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2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2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2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2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2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2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2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2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2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2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2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2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2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2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2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2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2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2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2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2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2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2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2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2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2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2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2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2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2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2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2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2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2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2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2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2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2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2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2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2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2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2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2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2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2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2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2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2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2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2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2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2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2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2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2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2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2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2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2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2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2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2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2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2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2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2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2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2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2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2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2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2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2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2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2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2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2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2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2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6">
    <mergeCell ref="A14:E14"/>
    <mergeCell ref="A1:H1"/>
    <mergeCell ref="A2:H2"/>
    <mergeCell ref="A3:H3"/>
    <mergeCell ref="A7:A11"/>
    <mergeCell ref="A12:C13"/>
  </mergeCells>
  <pageMargins left="0.7" right="0.7" top="0.75" bottom="0.75" header="0" footer="0"/>
  <pageSetup orientation="landscape"/>
  <headerFooter>
    <oddFooter>&amp;C&amp;P de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abSelected="1" workbookViewId="0">
      <pane ySplit="2" topLeftCell="A3" activePane="bottomLeft" state="frozen"/>
      <selection pane="bottomLeft" sqref="A1:L1"/>
    </sheetView>
  </sheetViews>
  <sheetFormatPr defaultColWidth="12.5703125" defaultRowHeight="15" customHeight="1"/>
  <cols>
    <col min="1" max="1" width="12.85546875" customWidth="1"/>
    <col min="2" max="2" width="43.7109375" customWidth="1"/>
    <col min="3" max="3" width="14.5703125" customWidth="1"/>
    <col min="4" max="7" width="10" customWidth="1"/>
    <col min="8" max="8" width="16.5703125" customWidth="1"/>
    <col min="9" max="9" width="13.140625" customWidth="1"/>
    <col min="10" max="10" width="15.5703125" customWidth="1"/>
    <col min="11" max="11" width="11.42578125" customWidth="1"/>
    <col min="12" max="12" width="13.140625" customWidth="1"/>
    <col min="13" max="13" width="11.42578125" customWidth="1"/>
    <col min="14" max="26" width="10" customWidth="1"/>
  </cols>
  <sheetData>
    <row r="1" spans="1:26" ht="18" customHeight="1">
      <c r="A1" s="127" t="s">
        <v>80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2"/>
      <c r="M1" s="12" t="s">
        <v>53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24" customHeight="1">
      <c r="A2" s="127" t="s">
        <v>81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2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24" customHeight="1">
      <c r="A3" s="125" t="s">
        <v>82</v>
      </c>
      <c r="B3" s="103"/>
      <c r="C3" s="17" t="s">
        <v>11</v>
      </c>
      <c r="D3" s="128"/>
      <c r="E3" s="72"/>
      <c r="F3" s="125" t="s">
        <v>83</v>
      </c>
      <c r="G3" s="103"/>
      <c r="H3" s="17" t="s">
        <v>14</v>
      </c>
      <c r="I3" s="128"/>
      <c r="J3" s="74"/>
      <c r="K3" s="74"/>
      <c r="L3" s="72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24" customHeight="1">
      <c r="A4" s="86"/>
      <c r="B4" s="104"/>
      <c r="C4" s="17" t="s">
        <v>12</v>
      </c>
      <c r="D4" s="128"/>
      <c r="E4" s="72"/>
      <c r="F4" s="86"/>
      <c r="G4" s="104"/>
      <c r="H4" s="17" t="s">
        <v>15</v>
      </c>
      <c r="I4" s="128"/>
      <c r="J4" s="74"/>
      <c r="K4" s="74"/>
      <c r="L4" s="72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21.75" customHeight="1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8.75" customHeight="1">
      <c r="A6" s="126" t="s">
        <v>84</v>
      </c>
      <c r="B6" s="106"/>
      <c r="C6" s="103"/>
      <c r="D6" s="90" t="s">
        <v>85</v>
      </c>
      <c r="E6" s="74"/>
      <c r="F6" s="74"/>
      <c r="G6" s="74"/>
      <c r="H6" s="74"/>
      <c r="I6" s="74"/>
      <c r="J6" s="74"/>
      <c r="K6" s="74"/>
      <c r="L6" s="72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8.75" customHeight="1">
      <c r="A7" s="86"/>
      <c r="B7" s="121"/>
      <c r="C7" s="104"/>
      <c r="D7" s="90" t="s">
        <v>86</v>
      </c>
      <c r="E7" s="74"/>
      <c r="F7" s="74"/>
      <c r="G7" s="72"/>
      <c r="H7" s="129" t="s">
        <v>87</v>
      </c>
      <c r="I7" s="106"/>
      <c r="J7" s="103"/>
      <c r="K7" s="90" t="s">
        <v>88</v>
      </c>
      <c r="L7" s="72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30.75" customHeight="1">
      <c r="A8" s="60" t="s">
        <v>89</v>
      </c>
      <c r="B8" s="60" t="s">
        <v>90</v>
      </c>
      <c r="C8" s="60" t="s">
        <v>91</v>
      </c>
      <c r="D8" s="60" t="s">
        <v>92</v>
      </c>
      <c r="E8" s="60" t="s">
        <v>93</v>
      </c>
      <c r="F8" s="60" t="s">
        <v>94</v>
      </c>
      <c r="G8" s="60" t="s">
        <v>95</v>
      </c>
      <c r="H8" s="86"/>
      <c r="I8" s="121"/>
      <c r="J8" s="104"/>
      <c r="K8" s="60" t="s">
        <v>96</v>
      </c>
      <c r="L8" s="60" t="s">
        <v>97</v>
      </c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34.5" customHeight="1">
      <c r="A9" s="62"/>
      <c r="B9" s="62"/>
      <c r="C9" s="62"/>
      <c r="D9" s="62"/>
      <c r="E9" s="62"/>
      <c r="F9" s="63"/>
      <c r="G9" s="63"/>
      <c r="H9" s="130"/>
      <c r="I9" s="74"/>
      <c r="J9" s="72"/>
      <c r="K9" s="62"/>
      <c r="L9" s="62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34.5" customHeight="1">
      <c r="A10" s="62"/>
      <c r="B10" s="62"/>
      <c r="C10" s="65"/>
      <c r="D10" s="62"/>
      <c r="E10" s="62"/>
      <c r="F10" s="63"/>
      <c r="G10" s="63"/>
      <c r="H10" s="130"/>
      <c r="I10" s="74"/>
      <c r="J10" s="72"/>
      <c r="K10" s="62"/>
      <c r="L10" s="62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34.5" customHeight="1">
      <c r="A11" s="62"/>
      <c r="B11" s="62"/>
      <c r="C11" s="62"/>
      <c r="D11" s="62"/>
      <c r="E11" s="62"/>
      <c r="F11" s="63"/>
      <c r="G11" s="63"/>
      <c r="H11" s="130"/>
      <c r="I11" s="74"/>
      <c r="J11" s="72"/>
      <c r="K11" s="62"/>
      <c r="L11" s="62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34.5" customHeight="1">
      <c r="A12" s="62"/>
      <c r="B12" s="62"/>
      <c r="C12" s="62"/>
      <c r="D12" s="62"/>
      <c r="E12" s="62"/>
      <c r="F12" s="63"/>
      <c r="G12" s="63"/>
      <c r="H12" s="130"/>
      <c r="I12" s="74"/>
      <c r="J12" s="72"/>
      <c r="K12" s="62"/>
      <c r="L12" s="62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34.5" customHeight="1">
      <c r="A13" s="62"/>
      <c r="B13" s="62"/>
      <c r="C13" s="62"/>
      <c r="D13" s="62"/>
      <c r="E13" s="62"/>
      <c r="F13" s="63"/>
      <c r="G13" s="63"/>
      <c r="H13" s="130"/>
      <c r="I13" s="74"/>
      <c r="J13" s="72"/>
      <c r="K13" s="62"/>
      <c r="L13" s="62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34.5" customHeight="1">
      <c r="A14" s="62"/>
      <c r="B14" s="62"/>
      <c r="C14" s="62"/>
      <c r="D14" s="62"/>
      <c r="E14" s="62"/>
      <c r="F14" s="63"/>
      <c r="G14" s="63"/>
      <c r="H14" s="130"/>
      <c r="I14" s="74"/>
      <c r="J14" s="72"/>
      <c r="K14" s="62"/>
      <c r="L14" s="62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34.5" customHeight="1">
      <c r="A15" s="62"/>
      <c r="B15" s="62"/>
      <c r="C15" s="62"/>
      <c r="D15" s="62"/>
      <c r="E15" s="62"/>
      <c r="F15" s="63"/>
      <c r="G15" s="63"/>
      <c r="H15" s="130"/>
      <c r="I15" s="74"/>
      <c r="J15" s="72"/>
      <c r="K15" s="62"/>
      <c r="L15" s="62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34.5" customHeight="1">
      <c r="A16" s="62"/>
      <c r="B16" s="62"/>
      <c r="C16" s="62"/>
      <c r="D16" s="62"/>
      <c r="E16" s="62"/>
      <c r="F16" s="63"/>
      <c r="G16" s="63"/>
      <c r="H16" s="130"/>
      <c r="I16" s="74"/>
      <c r="J16" s="72"/>
      <c r="K16" s="62"/>
      <c r="L16" s="62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34.5" customHeight="1">
      <c r="A17" s="62"/>
      <c r="B17" s="62"/>
      <c r="C17" s="62"/>
      <c r="D17" s="62"/>
      <c r="E17" s="62"/>
      <c r="F17" s="63"/>
      <c r="G17" s="63"/>
      <c r="H17" s="130"/>
      <c r="I17" s="74"/>
      <c r="J17" s="72"/>
      <c r="K17" s="62"/>
      <c r="L17" s="62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34.5" customHeight="1">
      <c r="A18" s="62"/>
      <c r="B18" s="62"/>
      <c r="C18" s="62"/>
      <c r="D18" s="62"/>
      <c r="E18" s="62"/>
      <c r="F18" s="63"/>
      <c r="G18" s="63"/>
      <c r="H18" s="130"/>
      <c r="I18" s="74"/>
      <c r="J18" s="72"/>
      <c r="K18" s="62"/>
      <c r="L18" s="62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34.5" customHeight="1">
      <c r="A19" s="62"/>
      <c r="B19" s="62"/>
      <c r="C19" s="62"/>
      <c r="D19" s="62"/>
      <c r="E19" s="62"/>
      <c r="F19" s="63"/>
      <c r="G19" s="63"/>
      <c r="H19" s="130"/>
      <c r="I19" s="74"/>
      <c r="J19" s="72"/>
      <c r="K19" s="62"/>
      <c r="L19" s="62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34.5" customHeight="1">
      <c r="A20" s="62"/>
      <c r="B20" s="62"/>
      <c r="C20" s="62"/>
      <c r="D20" s="62"/>
      <c r="E20" s="62"/>
      <c r="F20" s="63"/>
      <c r="G20" s="63"/>
      <c r="H20" s="130"/>
      <c r="I20" s="74"/>
      <c r="J20" s="72"/>
      <c r="K20" s="62"/>
      <c r="L20" s="62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34.5" customHeight="1">
      <c r="A21" s="62"/>
      <c r="B21" s="62"/>
      <c r="C21" s="62"/>
      <c r="D21" s="62"/>
      <c r="E21" s="62"/>
      <c r="F21" s="63"/>
      <c r="G21" s="63"/>
      <c r="H21" s="130"/>
      <c r="I21" s="74"/>
      <c r="J21" s="72"/>
      <c r="K21" s="62"/>
      <c r="L21" s="62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2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2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2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2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2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2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2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27.75" customHeight="1">
      <c r="A29" s="34"/>
      <c r="B29" s="34"/>
      <c r="C29" s="131" t="s">
        <v>47</v>
      </c>
      <c r="D29" s="106"/>
      <c r="E29" s="106"/>
      <c r="F29" s="34"/>
      <c r="G29" s="34"/>
      <c r="H29" s="131" t="s">
        <v>48</v>
      </c>
      <c r="I29" s="106"/>
      <c r="J29" s="106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3.5" customHeight="1">
      <c r="A30" s="34"/>
      <c r="B30" s="34"/>
      <c r="C30" s="34" t="s">
        <v>98</v>
      </c>
      <c r="D30" s="34"/>
      <c r="E30" s="34"/>
      <c r="F30" s="34"/>
      <c r="G30" s="34"/>
      <c r="H30" s="34" t="s">
        <v>50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3.5" customHeight="1">
      <c r="A31" s="34"/>
      <c r="B31" s="34"/>
      <c r="C31" s="34"/>
      <c r="D31" s="34"/>
      <c r="E31" s="34"/>
      <c r="F31" s="34"/>
      <c r="G31" s="34"/>
      <c r="H31" s="34" t="s">
        <v>51</v>
      </c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2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2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2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2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2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2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2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2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2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2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2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2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2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2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2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2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2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2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2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2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2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2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2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2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2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2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2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2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2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2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2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2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2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2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2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2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2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2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2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2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2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2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2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2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2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2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2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2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2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2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2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2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2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2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2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2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2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2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2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2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2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2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2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2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2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2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2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2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2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2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2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2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2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2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2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2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2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2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2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2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2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2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2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2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2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2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2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2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2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2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2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2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2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2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2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2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2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2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2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2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2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2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2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2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2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2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2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2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2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2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2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2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2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2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2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2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2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2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2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2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2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2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2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2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2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2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2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2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2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2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2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2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2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2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2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2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2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2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2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2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2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2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2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2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2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2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2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2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2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2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2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2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2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2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2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2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2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2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2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2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2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2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2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2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2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2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2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2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2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2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2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2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2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2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2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2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2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2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2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2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2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2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2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2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2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2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2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2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2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2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2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2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2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2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2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2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2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2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2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2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2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2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2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2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2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2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2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2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2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2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2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2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2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2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2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2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2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2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2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2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2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2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2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2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2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2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2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2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2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2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2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2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2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2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2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2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2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2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2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2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2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2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2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2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2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2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2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2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2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2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2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2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2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2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2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2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2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2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2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2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2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2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2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2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2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2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2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2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2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2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2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2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2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2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2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2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2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2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2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2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2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2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2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2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2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2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2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2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2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2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2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2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2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2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2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2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2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2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2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2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2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2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2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2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2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2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2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2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2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2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2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2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2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2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2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2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2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2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2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2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2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2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2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2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2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2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2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2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2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2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2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2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2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2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2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2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2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2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2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2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2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2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2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2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2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2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2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2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2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2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2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2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2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2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2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2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2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2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2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2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2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2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2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2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2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2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2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2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2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2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2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2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2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2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2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2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2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2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2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2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2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2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2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2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2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2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2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2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2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2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2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2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2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2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2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2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2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2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2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2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2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2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2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2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2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2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2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2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2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2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2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2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2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2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2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2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2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2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2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2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2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2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2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2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2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2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2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2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2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2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2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2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2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2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2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2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2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2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2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2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2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2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2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2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2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2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2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2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2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2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2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2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2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2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2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2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2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2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2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2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2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2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2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2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2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2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2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2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2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2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2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2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2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2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2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2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2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2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2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2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2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2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2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2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2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2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2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2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2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2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2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2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2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2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2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2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2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2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2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2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2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2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2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2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2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2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2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2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2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2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2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2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2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2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2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2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2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2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2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2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2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2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2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2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2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2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2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2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2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2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2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2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2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2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2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2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2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2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2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2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2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2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2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2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2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2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2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2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2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2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2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2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2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2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2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2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2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2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2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2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2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2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2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2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2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2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2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2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2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2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2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2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2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2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2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2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2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2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2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2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2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2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2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2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2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2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2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2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2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2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2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2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2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2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2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2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2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2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2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2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2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2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2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2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2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2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2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2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2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2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2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2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2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2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2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2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2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2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2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2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2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2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2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2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2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2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2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2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2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2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2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2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2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2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2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2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2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2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2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2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2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2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2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2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2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2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2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2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2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2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2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2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2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2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2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2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2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2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2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2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2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2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2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2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2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2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2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2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2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2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2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2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2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2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2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2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2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2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2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2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2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2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2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2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2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2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2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2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2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2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2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2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2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2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2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2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2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2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2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2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2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2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2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2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2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2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2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2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2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2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2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2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2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2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2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2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2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2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2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2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2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2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2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2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2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2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2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2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2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2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2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2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2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2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2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2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2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2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2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2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2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2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2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2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2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2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2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2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2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2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2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2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2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2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2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2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2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2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2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2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2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2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2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2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2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2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2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2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2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2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2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2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2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2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2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2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2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2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2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2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2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2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2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2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2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2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2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2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2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2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2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2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2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2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2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2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2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2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2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2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2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2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2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2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2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2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2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2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2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2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2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2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2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2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2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2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2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2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2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2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2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2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2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2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2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2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2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2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2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2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2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2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2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2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2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2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2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2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2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2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2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2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2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2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2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2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2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2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2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2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2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2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2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2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2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2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2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2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2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2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2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2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2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2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2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2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2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2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2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2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2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2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2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2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2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2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2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2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2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2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2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2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2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2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2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2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2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2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2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2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2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2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2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2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2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2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2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2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2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2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2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2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2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2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2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2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2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2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2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2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2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2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2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2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2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2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2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2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2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2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2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2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2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2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2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2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2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2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2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2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2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2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2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2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2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2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2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2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2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2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2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2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2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2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2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2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2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2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2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2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2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2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2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2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2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2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2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2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2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2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2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2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2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2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2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2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2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8">
    <mergeCell ref="H21:J21"/>
    <mergeCell ref="C29:E29"/>
    <mergeCell ref="H29:J29"/>
    <mergeCell ref="H12:J12"/>
    <mergeCell ref="H13:J13"/>
    <mergeCell ref="H14:J14"/>
    <mergeCell ref="H15:J15"/>
    <mergeCell ref="H16:J16"/>
    <mergeCell ref="H17:J17"/>
    <mergeCell ref="H18:J18"/>
    <mergeCell ref="H9:J9"/>
    <mergeCell ref="H10:J10"/>
    <mergeCell ref="H11:J11"/>
    <mergeCell ref="H19:J19"/>
    <mergeCell ref="H20:J20"/>
    <mergeCell ref="A3:B4"/>
    <mergeCell ref="A6:C7"/>
    <mergeCell ref="A1:L1"/>
    <mergeCell ref="A2:L2"/>
    <mergeCell ref="D3:E3"/>
    <mergeCell ref="F3:G4"/>
    <mergeCell ref="I3:L3"/>
    <mergeCell ref="D4:E4"/>
    <mergeCell ref="I4:L4"/>
    <mergeCell ref="D6:L6"/>
    <mergeCell ref="D7:G7"/>
    <mergeCell ref="H7:J8"/>
    <mergeCell ref="K7:L7"/>
  </mergeCells>
  <pageMargins left="0.7" right="0.7" top="0.75" bottom="0.75" header="0" footer="0"/>
  <pageSetup orientation="landscape"/>
  <headerFooter>
    <oddFooter>&amp;C&amp;P de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/>
  </sheetViews>
  <sheetFormatPr defaultColWidth="12.5703125" defaultRowHeight="15" customHeight="1"/>
  <cols>
    <col min="1" max="1" width="9.5703125" customWidth="1"/>
    <col min="2" max="2" width="74.5703125" customWidth="1"/>
    <col min="3" max="3" width="55.85546875" customWidth="1"/>
    <col min="4" max="6" width="11.42578125" customWidth="1"/>
    <col min="7" max="26" width="10" customWidth="1"/>
  </cols>
  <sheetData>
    <row r="1" spans="1:26" ht="33" customHeight="1">
      <c r="A1" s="132" t="s">
        <v>99</v>
      </c>
      <c r="B1" s="94"/>
      <c r="C1" s="27"/>
      <c r="D1" s="28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" customHeight="1">
      <c r="A2" s="66" t="s">
        <v>54</v>
      </c>
      <c r="B2" s="66" t="s">
        <v>55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5.5" customHeight="1">
      <c r="A3" s="67">
        <v>1</v>
      </c>
      <c r="B3" s="68" t="s">
        <v>56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5.75" customHeight="1">
      <c r="A4" s="67">
        <f>1+A3</f>
        <v>2</v>
      </c>
      <c r="B4" s="68" t="s">
        <v>57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25.5" customHeight="1">
      <c r="A5" s="67">
        <v>3.1</v>
      </c>
      <c r="B5" s="68" t="s">
        <v>58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51" customHeight="1">
      <c r="A6" s="67">
        <v>3.2</v>
      </c>
      <c r="B6" s="68" t="s">
        <v>59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25.5" customHeight="1">
      <c r="A7" s="67">
        <v>3.3</v>
      </c>
      <c r="B7" s="68" t="s">
        <v>100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25.5" customHeight="1">
      <c r="A8" s="67">
        <v>4.0999999999999996</v>
      </c>
      <c r="B8" s="68" t="s">
        <v>101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25.5" customHeight="1">
      <c r="A9" s="67">
        <v>4.2</v>
      </c>
      <c r="B9" s="68" t="s">
        <v>102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8" customHeight="1">
      <c r="A10" s="67">
        <v>4.3</v>
      </c>
      <c r="B10" s="68" t="s">
        <v>103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2.75" customHeight="1">
      <c r="A11" s="33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2.75" customHeight="1">
      <c r="A12" s="33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2.75" customHeight="1">
      <c r="A13" s="33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2.75" customHeight="1">
      <c r="A14" s="33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2.75" customHeight="1">
      <c r="A15" s="33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2.75" customHeight="1">
      <c r="A16" s="33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2.75" customHeight="1">
      <c r="A17" s="33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2.75" customHeight="1">
      <c r="A18" s="33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2.75" customHeight="1">
      <c r="A19" s="33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2.75" customHeight="1">
      <c r="A20" s="33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2.75" customHeight="1">
      <c r="A21" s="33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2.75" customHeight="1">
      <c r="A22" s="33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2.75" customHeight="1">
      <c r="A23" s="33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2.75" customHeight="1">
      <c r="A24" s="33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2.75" customHeight="1">
      <c r="A25" s="33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2.75" customHeight="1">
      <c r="A26" s="33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2.75" customHeight="1">
      <c r="A27" s="33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2.75" customHeight="1">
      <c r="A28" s="33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2.75" customHeight="1">
      <c r="A29" s="33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2.75" customHeight="1">
      <c r="A30" s="33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2.75" customHeight="1">
      <c r="A31" s="33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2.75" customHeight="1">
      <c r="A32" s="33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2.75" customHeight="1">
      <c r="A33" s="33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2.75" customHeight="1">
      <c r="A34" s="33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2.75" customHeight="1">
      <c r="A35" s="33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2.75" customHeight="1">
      <c r="A36" s="33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2.75" customHeight="1">
      <c r="A37" s="33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2.75" customHeight="1">
      <c r="A38" s="33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2.75" customHeight="1">
      <c r="A39" s="33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2.75" customHeight="1">
      <c r="A40" s="33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2.75" customHeight="1">
      <c r="A41" s="33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2.75" customHeight="1">
      <c r="A42" s="33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2.75" customHeight="1">
      <c r="A43" s="33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2.75" customHeight="1">
      <c r="A44" s="33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2.75" customHeight="1">
      <c r="A45" s="33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2.75" customHeight="1">
      <c r="A46" s="33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2.75" customHeight="1">
      <c r="A47" s="33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2.75" customHeight="1">
      <c r="A48" s="33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2.75" customHeight="1">
      <c r="A49" s="33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2.75" customHeight="1">
      <c r="A50" s="33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2.75" customHeight="1">
      <c r="A51" s="33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2.75" customHeight="1">
      <c r="A52" s="33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2.75" customHeight="1">
      <c r="A53" s="33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2.75" customHeight="1">
      <c r="A54" s="33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2.75" customHeight="1">
      <c r="A55" s="33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2.75" customHeight="1">
      <c r="A56" s="33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2.75" customHeight="1">
      <c r="A57" s="33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2.75" customHeight="1">
      <c r="A58" s="33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2.75" customHeight="1">
      <c r="A59" s="33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2.75" customHeight="1">
      <c r="A60" s="33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2.75" customHeight="1">
      <c r="A61" s="33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2.75" customHeight="1">
      <c r="A62" s="33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2.75" customHeight="1">
      <c r="A63" s="33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2.75" customHeight="1">
      <c r="A64" s="33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2.75" customHeight="1">
      <c r="A65" s="33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2.75" customHeight="1">
      <c r="A66" s="33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2.75" customHeight="1">
      <c r="A67" s="33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2.75" customHeight="1">
      <c r="A68" s="33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2.75" customHeight="1">
      <c r="A69" s="33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2.75" customHeight="1">
      <c r="A70" s="33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2.75" customHeight="1">
      <c r="A71" s="33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2.75" customHeight="1">
      <c r="A72" s="33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2.75" customHeight="1">
      <c r="A73" s="33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2.75" customHeight="1">
      <c r="A74" s="33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2.75" customHeight="1">
      <c r="A75" s="33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2.75" customHeight="1">
      <c r="A76" s="33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2.75" customHeight="1">
      <c r="A77" s="33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2.75" customHeight="1">
      <c r="A78" s="33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2.75" customHeight="1">
      <c r="A79" s="33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2.75" customHeight="1">
      <c r="A80" s="33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2.75" customHeight="1">
      <c r="A81" s="33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2.75" customHeight="1">
      <c r="A82" s="33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2.75" customHeight="1">
      <c r="A83" s="33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2.75" customHeight="1">
      <c r="A84" s="33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2.75" customHeight="1">
      <c r="A85" s="33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2.75" customHeight="1">
      <c r="A86" s="33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2.75" customHeight="1">
      <c r="A87" s="33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2.75" customHeight="1">
      <c r="A88" s="33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2.75" customHeight="1">
      <c r="A89" s="33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2.75" customHeight="1">
      <c r="A90" s="33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2.75" customHeight="1">
      <c r="A91" s="33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2.75" customHeight="1">
      <c r="A92" s="33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2.75" customHeight="1">
      <c r="A93" s="33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2.75" customHeight="1">
      <c r="A94" s="33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2.75" customHeight="1">
      <c r="A95" s="33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2.75" customHeight="1">
      <c r="A96" s="33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2.75" customHeight="1">
      <c r="A97" s="33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2.75" customHeight="1">
      <c r="A98" s="33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2.75" customHeight="1">
      <c r="A99" s="33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2.75" customHeight="1">
      <c r="A100" s="33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2.75" customHeight="1">
      <c r="A101" s="33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2.75" customHeight="1">
      <c r="A102" s="33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2.75" customHeight="1">
      <c r="A103" s="33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2.75" customHeight="1">
      <c r="A104" s="33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2.75" customHeight="1">
      <c r="A105" s="33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2.75" customHeight="1">
      <c r="A106" s="33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2.75" customHeight="1">
      <c r="A107" s="33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2.75" customHeight="1">
      <c r="A108" s="33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2.75" customHeight="1">
      <c r="A109" s="33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2.75" customHeight="1">
      <c r="A110" s="33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2.75" customHeight="1">
      <c r="A111" s="33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2.75" customHeight="1">
      <c r="A112" s="33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2.75" customHeight="1">
      <c r="A113" s="33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2.75" customHeight="1">
      <c r="A114" s="33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2.75" customHeight="1">
      <c r="A115" s="33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2.75" customHeight="1">
      <c r="A116" s="33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2.75" customHeight="1">
      <c r="A117" s="33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2.75" customHeight="1">
      <c r="A118" s="33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2.75" customHeight="1">
      <c r="A119" s="33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2.75" customHeight="1">
      <c r="A120" s="33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2.75" customHeight="1">
      <c r="A121" s="33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2.75" customHeight="1">
      <c r="A122" s="33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2.75" customHeight="1">
      <c r="A123" s="33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2.75" customHeight="1">
      <c r="A124" s="33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2.75" customHeight="1">
      <c r="A125" s="33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2.75" customHeight="1">
      <c r="A126" s="33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2.75" customHeight="1">
      <c r="A127" s="33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2.75" customHeight="1">
      <c r="A128" s="33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2.75" customHeight="1">
      <c r="A129" s="33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2.75" customHeight="1">
      <c r="A130" s="33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2.75" customHeight="1">
      <c r="A131" s="33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2.75" customHeight="1">
      <c r="A132" s="33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2.75" customHeight="1">
      <c r="A133" s="33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2.75" customHeight="1">
      <c r="A134" s="33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2.75" customHeight="1">
      <c r="A135" s="33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2.75" customHeight="1">
      <c r="A136" s="33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2.75" customHeight="1">
      <c r="A137" s="33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2.75" customHeight="1">
      <c r="A138" s="33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2.75" customHeight="1">
      <c r="A139" s="33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2.75" customHeight="1">
      <c r="A140" s="33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2.75" customHeight="1">
      <c r="A141" s="33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2.75" customHeight="1">
      <c r="A142" s="33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2.75" customHeight="1">
      <c r="A143" s="33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2.75" customHeight="1">
      <c r="A144" s="33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2.75" customHeight="1">
      <c r="A145" s="33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2.75" customHeight="1">
      <c r="A146" s="33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2.75" customHeight="1">
      <c r="A147" s="33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2.75" customHeight="1">
      <c r="A148" s="33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2.75" customHeight="1">
      <c r="A149" s="33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2.75" customHeight="1">
      <c r="A150" s="33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2.75" customHeight="1">
      <c r="A151" s="33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2.75" customHeight="1">
      <c r="A152" s="33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2.75" customHeight="1">
      <c r="A153" s="33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2.75" customHeight="1">
      <c r="A154" s="33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2.75" customHeight="1">
      <c r="A155" s="33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2.75" customHeight="1">
      <c r="A156" s="33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2.75" customHeight="1">
      <c r="A157" s="33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2.75" customHeight="1">
      <c r="A158" s="33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2.75" customHeight="1">
      <c r="A159" s="33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2.75" customHeight="1">
      <c r="A160" s="33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2.75" customHeight="1">
      <c r="A161" s="33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2.75" customHeight="1">
      <c r="A162" s="33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2.75" customHeight="1">
      <c r="A163" s="33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2.75" customHeight="1">
      <c r="A164" s="33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2.75" customHeight="1">
      <c r="A165" s="33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2.75" customHeight="1">
      <c r="A166" s="33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2.75" customHeight="1">
      <c r="A167" s="33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2.75" customHeight="1">
      <c r="A168" s="33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2.75" customHeight="1">
      <c r="A169" s="33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2.75" customHeight="1">
      <c r="A170" s="33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2.75" customHeight="1">
      <c r="A171" s="33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2.75" customHeight="1">
      <c r="A172" s="33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2.75" customHeight="1">
      <c r="A173" s="33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2.75" customHeight="1">
      <c r="A174" s="33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2.75" customHeight="1">
      <c r="A175" s="33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2.75" customHeight="1">
      <c r="A176" s="33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2.75" customHeight="1">
      <c r="A177" s="33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2.75" customHeight="1">
      <c r="A178" s="33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2.75" customHeight="1">
      <c r="A179" s="33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2.75" customHeight="1">
      <c r="A180" s="33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2.75" customHeight="1">
      <c r="A181" s="33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2.75" customHeight="1">
      <c r="A182" s="33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2.75" customHeight="1">
      <c r="A183" s="33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2.75" customHeight="1">
      <c r="A184" s="33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2.75" customHeight="1">
      <c r="A185" s="33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2.75" customHeight="1">
      <c r="A186" s="33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2.75" customHeight="1">
      <c r="A187" s="33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2.75" customHeight="1">
      <c r="A188" s="33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2.75" customHeight="1">
      <c r="A189" s="33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2.75" customHeight="1">
      <c r="A190" s="33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2.75" customHeight="1">
      <c r="A191" s="33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2.75" customHeight="1">
      <c r="A192" s="33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2.75" customHeight="1">
      <c r="A193" s="33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2.75" customHeight="1">
      <c r="A194" s="33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2.75" customHeight="1">
      <c r="A195" s="33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2.75" customHeight="1">
      <c r="A196" s="33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2.75" customHeight="1">
      <c r="A197" s="33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2.75" customHeight="1">
      <c r="A198" s="33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2.75" customHeight="1">
      <c r="A199" s="33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2.75" customHeight="1">
      <c r="A200" s="33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2.75" customHeight="1">
      <c r="A201" s="33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2.75" customHeight="1">
      <c r="A202" s="33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2.75" customHeight="1">
      <c r="A203" s="33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2.75" customHeight="1">
      <c r="A204" s="33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2.75" customHeight="1">
      <c r="A205" s="33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2.75" customHeight="1">
      <c r="A206" s="33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2.75" customHeight="1">
      <c r="A207" s="33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2.75" customHeight="1">
      <c r="A208" s="33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2.75" customHeight="1">
      <c r="A209" s="33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2.75" customHeight="1">
      <c r="A210" s="33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2.75" customHeight="1">
      <c r="A211" s="33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2.75" customHeight="1">
      <c r="A212" s="33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2.75" customHeight="1">
      <c r="A213" s="33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2.75" customHeight="1">
      <c r="A214" s="33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2.75" customHeight="1">
      <c r="A215" s="33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2.75" customHeight="1">
      <c r="A216" s="33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2.75" customHeight="1">
      <c r="A217" s="33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2.75" customHeight="1">
      <c r="A218" s="33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2.75" customHeight="1">
      <c r="A219" s="33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2.75" customHeight="1">
      <c r="A220" s="33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2.75" customHeight="1">
      <c r="A221" s="33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2.75" customHeight="1">
      <c r="A222" s="33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2.75" customHeight="1">
      <c r="A223" s="33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2.75" customHeight="1">
      <c r="A224" s="33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2.75" customHeight="1">
      <c r="A225" s="33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2.75" customHeight="1">
      <c r="A226" s="33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2.75" customHeight="1">
      <c r="A227" s="33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2.75" customHeight="1">
      <c r="A228" s="33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2.75" customHeight="1">
      <c r="A229" s="33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2.75" customHeight="1">
      <c r="A230" s="33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2.75" customHeight="1">
      <c r="A231" s="33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2.75" customHeight="1">
      <c r="A232" s="33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2.75" customHeight="1">
      <c r="A233" s="33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2.75" customHeight="1">
      <c r="A234" s="33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2.75" customHeight="1">
      <c r="A235" s="33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2.75" customHeight="1">
      <c r="A236" s="33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2.75" customHeight="1">
      <c r="A237" s="33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2.75" customHeight="1">
      <c r="A238" s="33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2.75" customHeight="1">
      <c r="A239" s="33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2.75" customHeight="1">
      <c r="A240" s="33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2.75" customHeight="1">
      <c r="A241" s="33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2.75" customHeight="1">
      <c r="A242" s="33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2.75" customHeight="1">
      <c r="A243" s="33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2.75" customHeight="1">
      <c r="A244" s="33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2.75" customHeight="1">
      <c r="A245" s="33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2.75" customHeight="1">
      <c r="A246" s="33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2.75" customHeight="1">
      <c r="A247" s="33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2.75" customHeight="1">
      <c r="A248" s="33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2.75" customHeight="1">
      <c r="A249" s="33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2.75" customHeight="1">
      <c r="A250" s="33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2.75" customHeight="1">
      <c r="A251" s="33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2.75" customHeight="1">
      <c r="A252" s="33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2.75" customHeight="1">
      <c r="A253" s="33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2.75" customHeight="1">
      <c r="A254" s="33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2.75" customHeight="1">
      <c r="A255" s="33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2.75" customHeight="1">
      <c r="A256" s="33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2.75" customHeight="1">
      <c r="A257" s="33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2.75" customHeight="1">
      <c r="A258" s="33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2.75" customHeight="1">
      <c r="A259" s="33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2.75" customHeight="1">
      <c r="A260" s="33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2.75" customHeight="1">
      <c r="A261" s="33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2.75" customHeight="1">
      <c r="A262" s="33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2.75" customHeight="1">
      <c r="A263" s="33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2.75" customHeight="1">
      <c r="A264" s="33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2.75" customHeight="1">
      <c r="A265" s="33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2.75" customHeight="1">
      <c r="A266" s="33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2.75" customHeight="1">
      <c r="A267" s="33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2.75" customHeight="1">
      <c r="A268" s="33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2.75" customHeight="1">
      <c r="A269" s="33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2.75" customHeight="1">
      <c r="A270" s="33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2.75" customHeight="1">
      <c r="A271" s="33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2.75" customHeight="1">
      <c r="A272" s="33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2.75" customHeight="1">
      <c r="A273" s="33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2.75" customHeight="1">
      <c r="A274" s="33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2.75" customHeight="1">
      <c r="A275" s="33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2.75" customHeight="1">
      <c r="A276" s="33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2.75" customHeight="1">
      <c r="A277" s="33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2.75" customHeight="1">
      <c r="A278" s="33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2.75" customHeight="1">
      <c r="A279" s="33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2.75" customHeight="1">
      <c r="A280" s="33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2.75" customHeight="1">
      <c r="A281" s="33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2.75" customHeight="1">
      <c r="A282" s="33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2.75" customHeight="1">
      <c r="A283" s="33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2.75" customHeight="1">
      <c r="A284" s="33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2.75" customHeight="1">
      <c r="A285" s="33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2.75" customHeight="1">
      <c r="A286" s="33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2.75" customHeight="1">
      <c r="A287" s="33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2.75" customHeight="1">
      <c r="A288" s="33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2.75" customHeight="1">
      <c r="A289" s="33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2.75" customHeight="1">
      <c r="A290" s="33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2.75" customHeight="1">
      <c r="A291" s="33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2.75" customHeight="1">
      <c r="A292" s="33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2.75" customHeight="1">
      <c r="A293" s="33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2.75" customHeight="1">
      <c r="A294" s="33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2.75" customHeight="1">
      <c r="A295" s="33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2.75" customHeight="1">
      <c r="A296" s="33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2.75" customHeight="1">
      <c r="A297" s="33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2.75" customHeight="1">
      <c r="A298" s="33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2.75" customHeight="1">
      <c r="A299" s="33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2.75" customHeight="1">
      <c r="A300" s="33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2.75" customHeight="1">
      <c r="A301" s="33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2.75" customHeight="1">
      <c r="A302" s="33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2.75" customHeight="1">
      <c r="A303" s="33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2.75" customHeight="1">
      <c r="A304" s="33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2.75" customHeight="1">
      <c r="A305" s="33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2.75" customHeight="1">
      <c r="A306" s="33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2.75" customHeight="1">
      <c r="A307" s="33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2.75" customHeight="1">
      <c r="A308" s="33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2.75" customHeight="1">
      <c r="A309" s="33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2.75" customHeight="1">
      <c r="A310" s="33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2.75" customHeight="1">
      <c r="A311" s="33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2.75" customHeight="1">
      <c r="A312" s="33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2.75" customHeight="1">
      <c r="A313" s="33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2.75" customHeight="1">
      <c r="A314" s="33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2.75" customHeight="1">
      <c r="A315" s="33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2.75" customHeight="1">
      <c r="A316" s="33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2.75" customHeight="1">
      <c r="A317" s="33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2.75" customHeight="1">
      <c r="A318" s="33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2.75" customHeight="1">
      <c r="A319" s="33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2.75" customHeight="1">
      <c r="A320" s="33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2.75" customHeight="1">
      <c r="A321" s="33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2.75" customHeight="1">
      <c r="A322" s="33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2.75" customHeight="1">
      <c r="A323" s="33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2.75" customHeight="1">
      <c r="A324" s="33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2.75" customHeight="1">
      <c r="A325" s="33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2.75" customHeight="1">
      <c r="A326" s="33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2.75" customHeight="1">
      <c r="A327" s="33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2.75" customHeight="1">
      <c r="A328" s="33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2.75" customHeight="1">
      <c r="A329" s="33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2.75" customHeight="1">
      <c r="A330" s="33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2.75" customHeight="1">
      <c r="A331" s="33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2.75" customHeight="1">
      <c r="A332" s="33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2.75" customHeight="1">
      <c r="A333" s="33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2.75" customHeight="1">
      <c r="A334" s="33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2.75" customHeight="1">
      <c r="A335" s="33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2.75" customHeight="1">
      <c r="A336" s="33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2.75" customHeight="1">
      <c r="A337" s="33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2.75" customHeight="1">
      <c r="A338" s="33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2.75" customHeight="1">
      <c r="A339" s="33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2.75" customHeight="1">
      <c r="A340" s="33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2.75" customHeight="1">
      <c r="A341" s="33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2.75" customHeight="1">
      <c r="A342" s="33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2.75" customHeight="1">
      <c r="A343" s="33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2.75" customHeight="1">
      <c r="A344" s="33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2.75" customHeight="1">
      <c r="A345" s="33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2.75" customHeight="1">
      <c r="A346" s="33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2.75" customHeight="1">
      <c r="A347" s="33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2.75" customHeight="1">
      <c r="A348" s="33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2.75" customHeight="1">
      <c r="A349" s="33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2.75" customHeight="1">
      <c r="A350" s="33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2.75" customHeight="1">
      <c r="A351" s="33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2.75" customHeight="1">
      <c r="A352" s="33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2.75" customHeight="1">
      <c r="A353" s="33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2.75" customHeight="1">
      <c r="A354" s="33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2.75" customHeight="1">
      <c r="A355" s="33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2.75" customHeight="1">
      <c r="A356" s="33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2.75" customHeight="1">
      <c r="A357" s="33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2.75" customHeight="1">
      <c r="A358" s="33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2.75" customHeight="1">
      <c r="A359" s="33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2.75" customHeight="1">
      <c r="A360" s="33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2.75" customHeight="1">
      <c r="A361" s="33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2.75" customHeight="1">
      <c r="A362" s="33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2.75" customHeight="1">
      <c r="A363" s="33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2.75" customHeight="1">
      <c r="A364" s="33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2.75" customHeight="1">
      <c r="A365" s="33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2.75" customHeight="1">
      <c r="A366" s="33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2.75" customHeight="1">
      <c r="A367" s="33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2.75" customHeight="1">
      <c r="A368" s="33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2.75" customHeight="1">
      <c r="A369" s="33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2.75" customHeight="1">
      <c r="A370" s="33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2.75" customHeight="1">
      <c r="A371" s="33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2.75" customHeight="1">
      <c r="A372" s="33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2.75" customHeight="1">
      <c r="A373" s="33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2.75" customHeight="1">
      <c r="A374" s="33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2.75" customHeight="1">
      <c r="A375" s="33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2.75" customHeight="1">
      <c r="A376" s="33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2.75" customHeight="1">
      <c r="A377" s="33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2.75" customHeight="1">
      <c r="A378" s="33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2.75" customHeight="1">
      <c r="A379" s="33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2.75" customHeight="1">
      <c r="A380" s="33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2.75" customHeight="1">
      <c r="A381" s="33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2.75" customHeight="1">
      <c r="A382" s="33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2.75" customHeight="1">
      <c r="A383" s="33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2.75" customHeight="1">
      <c r="A384" s="33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2.75" customHeight="1">
      <c r="A385" s="33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2.75" customHeight="1">
      <c r="A386" s="33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2.75" customHeight="1">
      <c r="A387" s="33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2.75" customHeight="1">
      <c r="A388" s="33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2.75" customHeight="1">
      <c r="A389" s="33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2.75" customHeight="1">
      <c r="A390" s="33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2.75" customHeight="1">
      <c r="A391" s="33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2.75" customHeight="1">
      <c r="A392" s="33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2.75" customHeight="1">
      <c r="A393" s="33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2.75" customHeight="1">
      <c r="A394" s="33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2.75" customHeight="1">
      <c r="A395" s="33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2.75" customHeight="1">
      <c r="A396" s="33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2.75" customHeight="1">
      <c r="A397" s="33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2.75" customHeight="1">
      <c r="A398" s="33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2.75" customHeight="1">
      <c r="A399" s="33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2.75" customHeight="1">
      <c r="A400" s="33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2.75" customHeight="1">
      <c r="A401" s="33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2.75" customHeight="1">
      <c r="A402" s="33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2.75" customHeight="1">
      <c r="A403" s="33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2.75" customHeight="1">
      <c r="A404" s="33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2.75" customHeight="1">
      <c r="A405" s="33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2.75" customHeight="1">
      <c r="A406" s="33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2.75" customHeight="1">
      <c r="A407" s="33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2.75" customHeight="1">
      <c r="A408" s="33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2.75" customHeight="1">
      <c r="A409" s="33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2.75" customHeight="1">
      <c r="A410" s="33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2.75" customHeight="1">
      <c r="A411" s="33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2.75" customHeight="1">
      <c r="A412" s="33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2.75" customHeight="1">
      <c r="A413" s="33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2.75" customHeight="1">
      <c r="A414" s="33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2.75" customHeight="1">
      <c r="A415" s="33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2.75" customHeight="1">
      <c r="A416" s="33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2.75" customHeight="1">
      <c r="A417" s="33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2.75" customHeight="1">
      <c r="A418" s="33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2.75" customHeight="1">
      <c r="A419" s="33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2.75" customHeight="1">
      <c r="A420" s="33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2.75" customHeight="1">
      <c r="A421" s="33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2.75" customHeight="1">
      <c r="A422" s="33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2.75" customHeight="1">
      <c r="A423" s="33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2.75" customHeight="1">
      <c r="A424" s="33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2.75" customHeight="1">
      <c r="A425" s="33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2.75" customHeight="1">
      <c r="A426" s="33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2.75" customHeight="1">
      <c r="A427" s="33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2.75" customHeight="1">
      <c r="A428" s="33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2.75" customHeight="1">
      <c r="A429" s="33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2.75" customHeight="1">
      <c r="A430" s="33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2.75" customHeight="1">
      <c r="A431" s="33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2.75" customHeight="1">
      <c r="A432" s="33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2.75" customHeight="1">
      <c r="A433" s="33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2.75" customHeight="1">
      <c r="A434" s="33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2.75" customHeight="1">
      <c r="A435" s="33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2.75" customHeight="1">
      <c r="A436" s="33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2.75" customHeight="1">
      <c r="A437" s="33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2.75" customHeight="1">
      <c r="A438" s="33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2.75" customHeight="1">
      <c r="A439" s="33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2.75" customHeight="1">
      <c r="A440" s="33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2.75" customHeight="1">
      <c r="A441" s="33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2.75" customHeight="1">
      <c r="A442" s="33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2.75" customHeight="1">
      <c r="A443" s="33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2.75" customHeight="1">
      <c r="A444" s="33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2.75" customHeight="1">
      <c r="A445" s="33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2.75" customHeight="1">
      <c r="A446" s="33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2.75" customHeight="1">
      <c r="A447" s="33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2.75" customHeight="1">
      <c r="A448" s="33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2.75" customHeight="1">
      <c r="A449" s="33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2.75" customHeight="1">
      <c r="A450" s="33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2.75" customHeight="1">
      <c r="A451" s="33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2.75" customHeight="1">
      <c r="A452" s="33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2.75" customHeight="1">
      <c r="A453" s="33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2.75" customHeight="1">
      <c r="A454" s="33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2.75" customHeight="1">
      <c r="A455" s="33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2.75" customHeight="1">
      <c r="A456" s="33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2.75" customHeight="1">
      <c r="A457" s="33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2.75" customHeight="1">
      <c r="A458" s="33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2.75" customHeight="1">
      <c r="A459" s="33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2.75" customHeight="1">
      <c r="A460" s="33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2.75" customHeight="1">
      <c r="A461" s="33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2.75" customHeight="1">
      <c r="A462" s="33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2.75" customHeight="1">
      <c r="A463" s="33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2.75" customHeight="1">
      <c r="A464" s="33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2.75" customHeight="1">
      <c r="A465" s="33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2.75" customHeight="1">
      <c r="A466" s="33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2.75" customHeight="1">
      <c r="A467" s="33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2.75" customHeight="1">
      <c r="A468" s="33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2.75" customHeight="1">
      <c r="A469" s="33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2.75" customHeight="1">
      <c r="A470" s="33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2.75" customHeight="1">
      <c r="A471" s="33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2.75" customHeight="1">
      <c r="A472" s="33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2.75" customHeight="1">
      <c r="A473" s="33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2.75" customHeight="1">
      <c r="A474" s="33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2.75" customHeight="1">
      <c r="A475" s="33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2.75" customHeight="1">
      <c r="A476" s="33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2.75" customHeight="1">
      <c r="A477" s="33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2.75" customHeight="1">
      <c r="A478" s="33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2.75" customHeight="1">
      <c r="A479" s="33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2.75" customHeight="1">
      <c r="A480" s="33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2.75" customHeight="1">
      <c r="A481" s="33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2.75" customHeight="1">
      <c r="A482" s="33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2.75" customHeight="1">
      <c r="A483" s="33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2.75" customHeight="1">
      <c r="A484" s="33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2.75" customHeight="1">
      <c r="A485" s="33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2.75" customHeight="1">
      <c r="A486" s="33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2.75" customHeight="1">
      <c r="A487" s="33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2.75" customHeight="1">
      <c r="A488" s="33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2.75" customHeight="1">
      <c r="A489" s="33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2.75" customHeight="1">
      <c r="A490" s="33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2.75" customHeight="1">
      <c r="A491" s="33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2.75" customHeight="1">
      <c r="A492" s="33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2.75" customHeight="1">
      <c r="A493" s="33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2.75" customHeight="1">
      <c r="A494" s="33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2.75" customHeight="1">
      <c r="A495" s="33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2.75" customHeight="1">
      <c r="A496" s="33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2.75" customHeight="1">
      <c r="A497" s="33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2.75" customHeight="1">
      <c r="A498" s="33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2.75" customHeight="1">
      <c r="A499" s="33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2.75" customHeight="1">
      <c r="A500" s="33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2.75" customHeight="1">
      <c r="A501" s="33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2.75" customHeight="1">
      <c r="A502" s="33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2.75" customHeight="1">
      <c r="A503" s="33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2.75" customHeight="1">
      <c r="A504" s="33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2.75" customHeight="1">
      <c r="A505" s="33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2.75" customHeight="1">
      <c r="A506" s="33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2.75" customHeight="1">
      <c r="A507" s="33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2.75" customHeight="1">
      <c r="A508" s="33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2.75" customHeight="1">
      <c r="A509" s="33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2.75" customHeight="1">
      <c r="A510" s="33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2.75" customHeight="1">
      <c r="A511" s="33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2.75" customHeight="1">
      <c r="A512" s="33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2.75" customHeight="1">
      <c r="A513" s="33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2.75" customHeight="1">
      <c r="A514" s="33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2.75" customHeight="1">
      <c r="A515" s="33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2.75" customHeight="1">
      <c r="A516" s="33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2.75" customHeight="1">
      <c r="A517" s="33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2.75" customHeight="1">
      <c r="A518" s="33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2.75" customHeight="1">
      <c r="A519" s="33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2.75" customHeight="1">
      <c r="A520" s="33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2.75" customHeight="1">
      <c r="A521" s="33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2.75" customHeight="1">
      <c r="A522" s="33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2.75" customHeight="1">
      <c r="A523" s="33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2.75" customHeight="1">
      <c r="A524" s="33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2.75" customHeight="1">
      <c r="A525" s="33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2.75" customHeight="1">
      <c r="A526" s="33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2.75" customHeight="1">
      <c r="A527" s="33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2.75" customHeight="1">
      <c r="A528" s="33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2.75" customHeight="1">
      <c r="A529" s="33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2.75" customHeight="1">
      <c r="A530" s="33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2.75" customHeight="1">
      <c r="A531" s="33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2.75" customHeight="1">
      <c r="A532" s="33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2.75" customHeight="1">
      <c r="A533" s="33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2.75" customHeight="1">
      <c r="A534" s="33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2.75" customHeight="1">
      <c r="A535" s="33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2.75" customHeight="1">
      <c r="A536" s="33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2.75" customHeight="1">
      <c r="A537" s="33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2.75" customHeight="1">
      <c r="A538" s="33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2.75" customHeight="1">
      <c r="A539" s="33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2.75" customHeight="1">
      <c r="A540" s="33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2.75" customHeight="1">
      <c r="A541" s="33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2.75" customHeight="1">
      <c r="A542" s="33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2.75" customHeight="1">
      <c r="A543" s="33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2.75" customHeight="1">
      <c r="A544" s="33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2.75" customHeight="1">
      <c r="A545" s="33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2.75" customHeight="1">
      <c r="A546" s="33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2.75" customHeight="1">
      <c r="A547" s="33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2.75" customHeight="1">
      <c r="A548" s="33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2.75" customHeight="1">
      <c r="A549" s="33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2.75" customHeight="1">
      <c r="A550" s="33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2.75" customHeight="1">
      <c r="A551" s="33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2.75" customHeight="1">
      <c r="A552" s="33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2.75" customHeight="1">
      <c r="A553" s="33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2.75" customHeight="1">
      <c r="A554" s="33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2.75" customHeight="1">
      <c r="A555" s="33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2.75" customHeight="1">
      <c r="A556" s="33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2.75" customHeight="1">
      <c r="A557" s="33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2.75" customHeight="1">
      <c r="A558" s="33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2.75" customHeight="1">
      <c r="A559" s="33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2.75" customHeight="1">
      <c r="A560" s="33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2.75" customHeight="1">
      <c r="A561" s="33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2.75" customHeight="1">
      <c r="A562" s="33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2.75" customHeight="1">
      <c r="A563" s="33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2.75" customHeight="1">
      <c r="A564" s="33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2.75" customHeight="1">
      <c r="A565" s="33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2.75" customHeight="1">
      <c r="A566" s="33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2.75" customHeight="1">
      <c r="A567" s="33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2.75" customHeight="1">
      <c r="A568" s="33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2.75" customHeight="1">
      <c r="A569" s="33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2.75" customHeight="1">
      <c r="A570" s="33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2.75" customHeight="1">
      <c r="A571" s="33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2.75" customHeight="1">
      <c r="A572" s="33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2.75" customHeight="1">
      <c r="A573" s="33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2.75" customHeight="1">
      <c r="A574" s="33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2.75" customHeight="1">
      <c r="A575" s="33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2.75" customHeight="1">
      <c r="A576" s="33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2.75" customHeight="1">
      <c r="A577" s="33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2.75" customHeight="1">
      <c r="A578" s="33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2.75" customHeight="1">
      <c r="A579" s="33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2.75" customHeight="1">
      <c r="A580" s="33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2.75" customHeight="1">
      <c r="A581" s="33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2.75" customHeight="1">
      <c r="A582" s="33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2.75" customHeight="1">
      <c r="A583" s="33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2.75" customHeight="1">
      <c r="A584" s="33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2.75" customHeight="1">
      <c r="A585" s="33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2.75" customHeight="1">
      <c r="A586" s="33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2.75" customHeight="1">
      <c r="A587" s="33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2.75" customHeight="1">
      <c r="A588" s="33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2.75" customHeight="1">
      <c r="A589" s="33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2.75" customHeight="1">
      <c r="A590" s="33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2.75" customHeight="1">
      <c r="A591" s="33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2.75" customHeight="1">
      <c r="A592" s="33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2.75" customHeight="1">
      <c r="A593" s="33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2.75" customHeight="1">
      <c r="A594" s="33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2.75" customHeight="1">
      <c r="A595" s="33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2.75" customHeight="1">
      <c r="A596" s="33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2.75" customHeight="1">
      <c r="A597" s="33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2.75" customHeight="1">
      <c r="A598" s="33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2.75" customHeight="1">
      <c r="A599" s="33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2.75" customHeight="1">
      <c r="A600" s="33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2.75" customHeight="1">
      <c r="A601" s="33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2.75" customHeight="1">
      <c r="A602" s="33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2.75" customHeight="1">
      <c r="A603" s="33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2.75" customHeight="1">
      <c r="A604" s="33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2.75" customHeight="1">
      <c r="A605" s="33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2.75" customHeight="1">
      <c r="A606" s="33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2.75" customHeight="1">
      <c r="A607" s="33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2.75" customHeight="1">
      <c r="A608" s="33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2.75" customHeight="1">
      <c r="A609" s="33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2.75" customHeight="1">
      <c r="A610" s="33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2.75" customHeight="1">
      <c r="A611" s="33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2.75" customHeight="1">
      <c r="A612" s="33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2.75" customHeight="1">
      <c r="A613" s="33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2.75" customHeight="1">
      <c r="A614" s="33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2.75" customHeight="1">
      <c r="A615" s="33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2.75" customHeight="1">
      <c r="A616" s="33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2.75" customHeight="1">
      <c r="A617" s="33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2.75" customHeight="1">
      <c r="A618" s="33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2.75" customHeight="1">
      <c r="A619" s="33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2.75" customHeight="1">
      <c r="A620" s="33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2.75" customHeight="1">
      <c r="A621" s="33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2.75" customHeight="1">
      <c r="A622" s="33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2.75" customHeight="1">
      <c r="A623" s="33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2.75" customHeight="1">
      <c r="A624" s="33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2.75" customHeight="1">
      <c r="A625" s="33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2.75" customHeight="1">
      <c r="A626" s="33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2.75" customHeight="1">
      <c r="A627" s="33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2.75" customHeight="1">
      <c r="A628" s="33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2.75" customHeight="1">
      <c r="A629" s="33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2.75" customHeight="1">
      <c r="A630" s="33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2.75" customHeight="1">
      <c r="A631" s="33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2.75" customHeight="1">
      <c r="A632" s="33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2.75" customHeight="1">
      <c r="A633" s="33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2.75" customHeight="1">
      <c r="A634" s="33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2.75" customHeight="1">
      <c r="A635" s="33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2.75" customHeight="1">
      <c r="A636" s="33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2.75" customHeight="1">
      <c r="A637" s="33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2.75" customHeight="1">
      <c r="A638" s="33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2.75" customHeight="1">
      <c r="A639" s="33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2.75" customHeight="1">
      <c r="A640" s="33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2.75" customHeight="1">
      <c r="A641" s="33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2.75" customHeight="1">
      <c r="A642" s="33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2.75" customHeight="1">
      <c r="A643" s="33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2.75" customHeight="1">
      <c r="A644" s="33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2.75" customHeight="1">
      <c r="A645" s="33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2.75" customHeight="1">
      <c r="A646" s="33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2.75" customHeight="1">
      <c r="A647" s="33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2.75" customHeight="1">
      <c r="A648" s="33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2.75" customHeight="1">
      <c r="A649" s="33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2.75" customHeight="1">
      <c r="A650" s="33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2.75" customHeight="1">
      <c r="A651" s="33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2.75" customHeight="1">
      <c r="A652" s="33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2.75" customHeight="1">
      <c r="A653" s="33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2.75" customHeight="1">
      <c r="A654" s="33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2.75" customHeight="1">
      <c r="A655" s="33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2.75" customHeight="1">
      <c r="A656" s="33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2.75" customHeight="1">
      <c r="A657" s="33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2.75" customHeight="1">
      <c r="A658" s="33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2.75" customHeight="1">
      <c r="A659" s="33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2.75" customHeight="1">
      <c r="A660" s="33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2.75" customHeight="1">
      <c r="A661" s="33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2.75" customHeight="1">
      <c r="A662" s="33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2.75" customHeight="1">
      <c r="A663" s="33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2.75" customHeight="1">
      <c r="A664" s="33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2.75" customHeight="1">
      <c r="A665" s="33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2.75" customHeight="1">
      <c r="A666" s="33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2.75" customHeight="1">
      <c r="A667" s="33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2.75" customHeight="1">
      <c r="A668" s="33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2.75" customHeight="1">
      <c r="A669" s="33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2.75" customHeight="1">
      <c r="A670" s="33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2.75" customHeight="1">
      <c r="A671" s="33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2.75" customHeight="1">
      <c r="A672" s="33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2.75" customHeight="1">
      <c r="A673" s="33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2.75" customHeight="1">
      <c r="A674" s="33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2.75" customHeight="1">
      <c r="A675" s="33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2.75" customHeight="1">
      <c r="A676" s="33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2.75" customHeight="1">
      <c r="A677" s="33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2.75" customHeight="1">
      <c r="A678" s="33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2.75" customHeight="1">
      <c r="A679" s="33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2.75" customHeight="1">
      <c r="A680" s="33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2.75" customHeight="1">
      <c r="A681" s="33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2.75" customHeight="1">
      <c r="A682" s="33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2.75" customHeight="1">
      <c r="A683" s="33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2.75" customHeight="1">
      <c r="A684" s="33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2.75" customHeight="1">
      <c r="A685" s="33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2.75" customHeight="1">
      <c r="A686" s="33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2.75" customHeight="1">
      <c r="A687" s="33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2.75" customHeight="1">
      <c r="A688" s="33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2.75" customHeight="1">
      <c r="A689" s="33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2.75" customHeight="1">
      <c r="A690" s="33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2.75" customHeight="1">
      <c r="A691" s="33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2.75" customHeight="1">
      <c r="A692" s="33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2.75" customHeight="1">
      <c r="A693" s="33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2.75" customHeight="1">
      <c r="A694" s="33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2.75" customHeight="1">
      <c r="A695" s="33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2.75" customHeight="1">
      <c r="A696" s="33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2.75" customHeight="1">
      <c r="A697" s="33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2.75" customHeight="1">
      <c r="A698" s="33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2.75" customHeight="1">
      <c r="A699" s="33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2.75" customHeight="1">
      <c r="A700" s="33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2.75" customHeight="1">
      <c r="A701" s="33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2.75" customHeight="1">
      <c r="A702" s="33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2.75" customHeight="1">
      <c r="A703" s="33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2.75" customHeight="1">
      <c r="A704" s="33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2.75" customHeight="1">
      <c r="A705" s="33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2.75" customHeight="1">
      <c r="A706" s="33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2.75" customHeight="1">
      <c r="A707" s="33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2.75" customHeight="1">
      <c r="A708" s="33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2.75" customHeight="1">
      <c r="A709" s="33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2.75" customHeight="1">
      <c r="A710" s="33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2.75" customHeight="1">
      <c r="A711" s="33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2.75" customHeight="1">
      <c r="A712" s="33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2.75" customHeight="1">
      <c r="A713" s="33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2.75" customHeight="1">
      <c r="A714" s="33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2.75" customHeight="1">
      <c r="A715" s="33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2.75" customHeight="1">
      <c r="A716" s="33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2.75" customHeight="1">
      <c r="A717" s="33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2.75" customHeight="1">
      <c r="A718" s="33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2.75" customHeight="1">
      <c r="A719" s="33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2.75" customHeight="1">
      <c r="A720" s="33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2.75" customHeight="1">
      <c r="A721" s="33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2.75" customHeight="1">
      <c r="A722" s="33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2.75" customHeight="1">
      <c r="A723" s="33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2.75" customHeight="1">
      <c r="A724" s="33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2.75" customHeight="1">
      <c r="A725" s="33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2.75" customHeight="1">
      <c r="A726" s="33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2.75" customHeight="1">
      <c r="A727" s="33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2.75" customHeight="1">
      <c r="A728" s="33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2.75" customHeight="1">
      <c r="A729" s="33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2.75" customHeight="1">
      <c r="A730" s="33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2.75" customHeight="1">
      <c r="A731" s="33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2.75" customHeight="1">
      <c r="A732" s="33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2.75" customHeight="1">
      <c r="A733" s="33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2.75" customHeight="1">
      <c r="A734" s="33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2.75" customHeight="1">
      <c r="A735" s="33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2.75" customHeight="1">
      <c r="A736" s="33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2.75" customHeight="1">
      <c r="A737" s="33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2.75" customHeight="1">
      <c r="A738" s="33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2.75" customHeight="1">
      <c r="A739" s="33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2.75" customHeight="1">
      <c r="A740" s="33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2.75" customHeight="1">
      <c r="A741" s="33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2.75" customHeight="1">
      <c r="A742" s="33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2.75" customHeight="1">
      <c r="A743" s="33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2.75" customHeight="1">
      <c r="A744" s="33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2.75" customHeight="1">
      <c r="A745" s="33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2.75" customHeight="1">
      <c r="A746" s="33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2.75" customHeight="1">
      <c r="A747" s="33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2.75" customHeight="1">
      <c r="A748" s="33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2.75" customHeight="1">
      <c r="A749" s="33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2.75" customHeight="1">
      <c r="A750" s="33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2.75" customHeight="1">
      <c r="A751" s="33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2.75" customHeight="1">
      <c r="A752" s="33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2.75" customHeight="1">
      <c r="A753" s="33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2.75" customHeight="1">
      <c r="A754" s="33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2.75" customHeight="1">
      <c r="A755" s="33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2.75" customHeight="1">
      <c r="A756" s="33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2.75" customHeight="1">
      <c r="A757" s="33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2.75" customHeight="1">
      <c r="A758" s="33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2.75" customHeight="1">
      <c r="A759" s="33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2.75" customHeight="1">
      <c r="A760" s="33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2.75" customHeight="1">
      <c r="A761" s="33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2.75" customHeight="1">
      <c r="A762" s="33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2.75" customHeight="1">
      <c r="A763" s="33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2.75" customHeight="1">
      <c r="A764" s="33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2.75" customHeight="1">
      <c r="A765" s="33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2.75" customHeight="1">
      <c r="A766" s="33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2.75" customHeight="1">
      <c r="A767" s="33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2.75" customHeight="1">
      <c r="A768" s="33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2.75" customHeight="1">
      <c r="A769" s="33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2.75" customHeight="1">
      <c r="A770" s="33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2.75" customHeight="1">
      <c r="A771" s="33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2.75" customHeight="1">
      <c r="A772" s="33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2.75" customHeight="1">
      <c r="A773" s="33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2.75" customHeight="1">
      <c r="A774" s="33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2.75" customHeight="1">
      <c r="A775" s="33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2.75" customHeight="1">
      <c r="A776" s="33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2.75" customHeight="1">
      <c r="A777" s="33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2.75" customHeight="1">
      <c r="A778" s="33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2.75" customHeight="1">
      <c r="A779" s="33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2.75" customHeight="1">
      <c r="A780" s="33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2.75" customHeight="1">
      <c r="A781" s="33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2.75" customHeight="1">
      <c r="A782" s="33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2.75" customHeight="1">
      <c r="A783" s="33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2.75" customHeight="1">
      <c r="A784" s="33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2.75" customHeight="1">
      <c r="A785" s="33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2.75" customHeight="1">
      <c r="A786" s="33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2.75" customHeight="1">
      <c r="A787" s="33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2.75" customHeight="1">
      <c r="A788" s="33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2.75" customHeight="1">
      <c r="A789" s="33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2.75" customHeight="1">
      <c r="A790" s="33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2.75" customHeight="1">
      <c r="A791" s="33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2.75" customHeight="1">
      <c r="A792" s="33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2.75" customHeight="1">
      <c r="A793" s="33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2.75" customHeight="1">
      <c r="A794" s="33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2.75" customHeight="1">
      <c r="A795" s="33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2.75" customHeight="1">
      <c r="A796" s="33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2.75" customHeight="1">
      <c r="A797" s="33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2.75" customHeight="1">
      <c r="A798" s="33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2.75" customHeight="1">
      <c r="A799" s="33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2.75" customHeight="1">
      <c r="A800" s="33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2.75" customHeight="1">
      <c r="A801" s="33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2.75" customHeight="1">
      <c r="A802" s="33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2.75" customHeight="1">
      <c r="A803" s="33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2.75" customHeight="1">
      <c r="A804" s="33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2.75" customHeight="1">
      <c r="A805" s="33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2.75" customHeight="1">
      <c r="A806" s="33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2.75" customHeight="1">
      <c r="A807" s="33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2.75" customHeight="1">
      <c r="A808" s="33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2.75" customHeight="1">
      <c r="A809" s="33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2.75" customHeight="1">
      <c r="A810" s="33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2.75" customHeight="1">
      <c r="A811" s="33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2.75" customHeight="1">
      <c r="A812" s="33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2.75" customHeight="1">
      <c r="A813" s="33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2.75" customHeight="1">
      <c r="A814" s="33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2.75" customHeight="1">
      <c r="A815" s="33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2.75" customHeight="1">
      <c r="A816" s="33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2.75" customHeight="1">
      <c r="A817" s="33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2.75" customHeight="1">
      <c r="A818" s="33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2.75" customHeight="1">
      <c r="A819" s="33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2.75" customHeight="1">
      <c r="A820" s="33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2.75" customHeight="1">
      <c r="A821" s="33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2.75" customHeight="1">
      <c r="A822" s="33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2.75" customHeight="1">
      <c r="A823" s="33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2.75" customHeight="1">
      <c r="A824" s="33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2.75" customHeight="1">
      <c r="A825" s="33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2.75" customHeight="1">
      <c r="A826" s="33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2.75" customHeight="1">
      <c r="A827" s="33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2.75" customHeight="1">
      <c r="A828" s="33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2.75" customHeight="1">
      <c r="A829" s="33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2.75" customHeight="1">
      <c r="A830" s="33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2.75" customHeight="1">
      <c r="A831" s="33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2.75" customHeight="1">
      <c r="A832" s="33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2.75" customHeight="1">
      <c r="A833" s="33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2.75" customHeight="1">
      <c r="A834" s="33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2.75" customHeight="1">
      <c r="A835" s="33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2.75" customHeight="1">
      <c r="A836" s="33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2.75" customHeight="1">
      <c r="A837" s="33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2.75" customHeight="1">
      <c r="A838" s="33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2.75" customHeight="1">
      <c r="A839" s="33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2.75" customHeight="1">
      <c r="A840" s="33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2.75" customHeight="1">
      <c r="A841" s="33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2.75" customHeight="1">
      <c r="A842" s="33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2.75" customHeight="1">
      <c r="A843" s="33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2.75" customHeight="1">
      <c r="A844" s="33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2.75" customHeight="1">
      <c r="A845" s="33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2.75" customHeight="1">
      <c r="A846" s="33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2.75" customHeight="1">
      <c r="A847" s="33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2.75" customHeight="1">
      <c r="A848" s="33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2.75" customHeight="1">
      <c r="A849" s="33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2.75" customHeight="1">
      <c r="A850" s="33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2.75" customHeight="1">
      <c r="A851" s="33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2.75" customHeight="1">
      <c r="A852" s="33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2.75" customHeight="1">
      <c r="A853" s="33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2.75" customHeight="1">
      <c r="A854" s="33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2.75" customHeight="1">
      <c r="A855" s="33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2.75" customHeight="1">
      <c r="A856" s="33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2.75" customHeight="1">
      <c r="A857" s="33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2.75" customHeight="1">
      <c r="A858" s="33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2.75" customHeight="1">
      <c r="A859" s="33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2.75" customHeight="1">
      <c r="A860" s="33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2.75" customHeight="1">
      <c r="A861" s="33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2.75" customHeight="1">
      <c r="A862" s="33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2.75" customHeight="1">
      <c r="A863" s="33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2.75" customHeight="1">
      <c r="A864" s="33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2.75" customHeight="1">
      <c r="A865" s="33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2.75" customHeight="1">
      <c r="A866" s="33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2.75" customHeight="1">
      <c r="A867" s="33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2.75" customHeight="1">
      <c r="A868" s="33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2.75" customHeight="1">
      <c r="A869" s="33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2.75" customHeight="1">
      <c r="A870" s="33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2.75" customHeight="1">
      <c r="A871" s="33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2.75" customHeight="1">
      <c r="A872" s="33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2.75" customHeight="1">
      <c r="A873" s="33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2.75" customHeight="1">
      <c r="A874" s="33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2.75" customHeight="1">
      <c r="A875" s="33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2.75" customHeight="1">
      <c r="A876" s="33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2.75" customHeight="1">
      <c r="A877" s="33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2.75" customHeight="1">
      <c r="A878" s="33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2.75" customHeight="1">
      <c r="A879" s="33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2.75" customHeight="1">
      <c r="A880" s="33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2.75" customHeight="1">
      <c r="A881" s="33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2.75" customHeight="1">
      <c r="A882" s="33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2.75" customHeight="1">
      <c r="A883" s="33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2.75" customHeight="1">
      <c r="A884" s="33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2.75" customHeight="1">
      <c r="A885" s="33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2.75" customHeight="1">
      <c r="A886" s="33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2.75" customHeight="1">
      <c r="A887" s="33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2.75" customHeight="1">
      <c r="A888" s="33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2.75" customHeight="1">
      <c r="A889" s="33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2.75" customHeight="1">
      <c r="A890" s="33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2.75" customHeight="1">
      <c r="A891" s="33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2.75" customHeight="1">
      <c r="A892" s="33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2.75" customHeight="1">
      <c r="A893" s="33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2.75" customHeight="1">
      <c r="A894" s="33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2.75" customHeight="1">
      <c r="A895" s="33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2.75" customHeight="1">
      <c r="A896" s="33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2.75" customHeight="1">
      <c r="A897" s="33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2.75" customHeight="1">
      <c r="A898" s="33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2.75" customHeight="1">
      <c r="A899" s="33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2.75" customHeight="1">
      <c r="A900" s="33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2.75" customHeight="1">
      <c r="A901" s="33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2.75" customHeight="1">
      <c r="A902" s="33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2.75" customHeight="1">
      <c r="A903" s="33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2.75" customHeight="1">
      <c r="A904" s="33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2.75" customHeight="1">
      <c r="A905" s="33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2.75" customHeight="1">
      <c r="A906" s="33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2.75" customHeight="1">
      <c r="A907" s="33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2.75" customHeight="1">
      <c r="A908" s="33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2.75" customHeight="1">
      <c r="A909" s="33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2.75" customHeight="1">
      <c r="A910" s="33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2.75" customHeight="1">
      <c r="A911" s="33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2.75" customHeight="1">
      <c r="A912" s="33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2.75" customHeight="1">
      <c r="A913" s="33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2.75" customHeight="1">
      <c r="A914" s="33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2.75" customHeight="1">
      <c r="A915" s="33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2.75" customHeight="1">
      <c r="A916" s="33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2.75" customHeight="1">
      <c r="A917" s="33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2.75" customHeight="1">
      <c r="A918" s="33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2.75" customHeight="1">
      <c r="A919" s="33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2.75" customHeight="1">
      <c r="A920" s="33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2.75" customHeight="1">
      <c r="A921" s="33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2.75" customHeight="1">
      <c r="A922" s="33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2.75" customHeight="1">
      <c r="A923" s="33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2.75" customHeight="1">
      <c r="A924" s="33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2.75" customHeight="1">
      <c r="A925" s="33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2.75" customHeight="1">
      <c r="A926" s="33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2.75" customHeight="1">
      <c r="A927" s="33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2.75" customHeight="1">
      <c r="A928" s="33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2.75" customHeight="1">
      <c r="A929" s="33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2.75" customHeight="1">
      <c r="A930" s="33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2.75" customHeight="1">
      <c r="A931" s="33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2.75" customHeight="1">
      <c r="A932" s="33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2.75" customHeight="1">
      <c r="A933" s="33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2.75" customHeight="1">
      <c r="A934" s="33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2.75" customHeight="1">
      <c r="A935" s="33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2.75" customHeight="1">
      <c r="A936" s="33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2.75" customHeight="1">
      <c r="A937" s="33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2.75" customHeight="1">
      <c r="A938" s="33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2.75" customHeight="1">
      <c r="A939" s="33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2.75" customHeight="1">
      <c r="A940" s="33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2.75" customHeight="1">
      <c r="A941" s="33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2.75" customHeight="1">
      <c r="A942" s="33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2.75" customHeight="1">
      <c r="A943" s="33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2.75" customHeight="1">
      <c r="A944" s="33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2.75" customHeight="1">
      <c r="A945" s="33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2.75" customHeight="1">
      <c r="A946" s="33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2.75" customHeight="1">
      <c r="A947" s="33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2.75" customHeight="1">
      <c r="A948" s="33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2.75" customHeight="1">
      <c r="A949" s="33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2.75" customHeight="1">
      <c r="A950" s="33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2.75" customHeight="1">
      <c r="A951" s="33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2.75" customHeight="1">
      <c r="A952" s="33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2.75" customHeight="1">
      <c r="A953" s="33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2.75" customHeight="1">
      <c r="A954" s="33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2.75" customHeight="1">
      <c r="A955" s="33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2.75" customHeight="1">
      <c r="A956" s="33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2.75" customHeight="1">
      <c r="A957" s="33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2.75" customHeight="1">
      <c r="A958" s="33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2.75" customHeight="1">
      <c r="A959" s="33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2.75" customHeight="1">
      <c r="A960" s="33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2.75" customHeight="1">
      <c r="A961" s="33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2.75" customHeight="1">
      <c r="A962" s="33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2.75" customHeight="1">
      <c r="A963" s="33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2.75" customHeight="1">
      <c r="A964" s="33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2.75" customHeight="1">
      <c r="A965" s="33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2.75" customHeight="1">
      <c r="A966" s="33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2.75" customHeight="1">
      <c r="A967" s="33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2.75" customHeight="1">
      <c r="A968" s="33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2.75" customHeight="1">
      <c r="A969" s="33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2.75" customHeight="1">
      <c r="A970" s="33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2.75" customHeight="1">
      <c r="A971" s="33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2.75" customHeight="1">
      <c r="A972" s="33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2.75" customHeight="1">
      <c r="A973" s="33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2.75" customHeight="1">
      <c r="A974" s="33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2.75" customHeight="1">
      <c r="A975" s="33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2.75" customHeight="1">
      <c r="A976" s="33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2.75" customHeight="1">
      <c r="A977" s="33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2.75" customHeight="1">
      <c r="A978" s="33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2.75" customHeight="1">
      <c r="A979" s="33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2.75" customHeight="1">
      <c r="A980" s="33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2.75" customHeight="1">
      <c r="A981" s="33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2.75" customHeight="1">
      <c r="A982" s="33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2.75" customHeight="1">
      <c r="A983" s="33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2.75" customHeight="1">
      <c r="A984" s="33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2.75" customHeight="1">
      <c r="A985" s="33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2.75" customHeight="1">
      <c r="A986" s="33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2.75" customHeight="1">
      <c r="A987" s="33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2.75" customHeight="1">
      <c r="A988" s="33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2.75" customHeight="1">
      <c r="A989" s="33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2.75" customHeight="1">
      <c r="A990" s="33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2.75" customHeight="1">
      <c r="A991" s="33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2.75" customHeight="1">
      <c r="A992" s="33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2.75" customHeight="1">
      <c r="A993" s="33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2.75" customHeight="1">
      <c r="A994" s="33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2.75" customHeight="1">
      <c r="A995" s="33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2.75" customHeight="1">
      <c r="A996" s="33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2.75" customHeight="1">
      <c r="A997" s="33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2.75" customHeight="1">
      <c r="A998" s="33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2.75" customHeight="1">
      <c r="A999" s="33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2.75" customHeight="1">
      <c r="A1000" s="33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">
    <mergeCell ref="A1:B1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81D6BD42E8DF4C91013959704817E1" ma:contentTypeVersion="15" ma:contentTypeDescription="Crear nuevo documento." ma:contentTypeScope="" ma:versionID="bf4f72ffd194f0963ff564daca6869f7">
  <xsd:schema xmlns:xsd="http://www.w3.org/2001/XMLSchema" xmlns:xs="http://www.w3.org/2001/XMLSchema" xmlns:p="http://schemas.microsoft.com/office/2006/metadata/properties" xmlns:ns2="13c90a0b-73bc-4dc0-be5f-28d77b615beb" xmlns:ns3="13c93bba-48ce-428c-bfe5-88b42c19b028" targetNamespace="http://schemas.microsoft.com/office/2006/metadata/properties" ma:root="true" ma:fieldsID="8718d6f4873a5b1392a45044efa78385" ns2:_="" ns3:_="">
    <xsd:import namespace="13c90a0b-73bc-4dc0-be5f-28d77b615beb"/>
    <xsd:import namespace="13c93bba-48ce-428c-bfe5-88b42c19b0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0a0b-73bc-4dc0-be5f-28d77b615b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2ca037-5d13-4729-aeec-4237f141d2d6}" ma:internalName="TaxCatchAll" ma:showField="CatchAllData" ma:web="13c90a0b-73bc-4dc0-be5f-28d77b615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3bba-48ce-428c-bfe5-88b42c19b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c90a0b-73bc-4dc0-be5f-28d77b615beb" xsi:nil="true"/>
    <lcf76f155ced4ddcb4097134ff3c332f xmlns="13c93bba-48ce-428c-bfe5-88b42c19b0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9F1686-1AC7-4E3C-A217-DC0AE066D906}"/>
</file>

<file path=customXml/itemProps2.xml><?xml version="1.0" encoding="utf-8"?>
<ds:datastoreItem xmlns:ds="http://schemas.openxmlformats.org/officeDocument/2006/customXml" ds:itemID="{277E39D2-08DB-4634-ACC0-AA727F98A9D9}"/>
</file>

<file path=customXml/itemProps3.xml><?xml version="1.0" encoding="utf-8"?>
<ds:datastoreItem xmlns:ds="http://schemas.openxmlformats.org/officeDocument/2006/customXml" ds:itemID="{F7790CEE-685C-4E8C-956F-536683B81E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Listado</vt:lpstr>
      <vt:lpstr>F-1. IDENTIFIC, ANALISIS, RESP.</vt:lpstr>
      <vt:lpstr>Instrucciones Formato No 1</vt:lpstr>
      <vt:lpstr>F-2. MATRIZ PROB E IMPACTO.</vt:lpstr>
      <vt:lpstr>F-3. ASIGNACION RIESGOS </vt:lpstr>
      <vt:lpstr>Instrucciones Formato No 3</vt:lpstr>
      <vt:lpstr>SOLICITUD_DE_CERTIFICACIÓN_DE_CRÉDITO_PRESUPUESTARIO</vt:lpstr>
      <vt:lpstr>SOLICITUD_DE_CERTIFICACIÓN_PRESUPUESTAL</vt:lpstr>
      <vt:lpstr>'F-1. IDENTIFIC, ANALISIS, RESP.'!Z_10E4AEAE_5D84_4CFC_A3C3_6092AA5F11CA_.wvu.PrintArea</vt:lpstr>
      <vt:lpstr>'F-3. ASIGNACION RIESGOS '!Z_10E4AEAE_5D84_4CFC_A3C3_6092AA5F11CA_.wvu.PrintArea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ipacheco</dc:creator>
  <cp:lastModifiedBy>Paola Moya</cp:lastModifiedBy>
  <dcterms:created xsi:type="dcterms:W3CDTF">2012-01-02T01:40:14Z</dcterms:created>
  <dcterms:modified xsi:type="dcterms:W3CDTF">2026-07-09T15:06:18Z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0x0101006A81D6BD42E8DF4C91013959704817E1</vt:lpwstr>
  </property>
</Properties>
</file>